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FF55E627-75D6-4128-8137-7AB25A75C49D}" xr6:coauthVersionLast="47" xr6:coauthVersionMax="47" xr10:uidLastSave="{00000000-0000-0000-0000-000000000000}"/>
  <bookViews>
    <workbookView xWindow="-120" yWindow="-120" windowWidth="19440" windowHeight="10320" activeTab="1" xr2:uid="{00000000-000D-0000-FFFF-FFFF00000000}"/>
  </bookViews>
  <sheets>
    <sheet name="Order Data" sheetId="1" r:id="rId1"/>
    <sheet name="Pivot " sheetId="2" r:id="rId2"/>
    <sheet name="Dashboard" sheetId="3" r:id="rId3"/>
  </sheets>
  <definedNames>
    <definedName name="_xlchart.v1.0" hidden="1">'Pivot '!$Q$10:$Q$12</definedName>
    <definedName name="_xlchart.v1.1" hidden="1">'Pivot '!$R$10:$R$12</definedName>
    <definedName name="_xlchart.v1.10" hidden="1">'Pivot '!$AD$10</definedName>
    <definedName name="_xlchart.v1.11" hidden="1">'Pivot '!$AD$11:$AD$13</definedName>
    <definedName name="_xlchart.v1.2" hidden="1">'Pivot '!$R$9</definedName>
    <definedName name="_xlchart.v1.3" hidden="1">'Pivot '!$AC$11:$AC$13</definedName>
    <definedName name="_xlchart.v1.4" hidden="1">'Pivot '!$AD$10</definedName>
    <definedName name="_xlchart.v1.5" hidden="1">'Pivot '!$AD$11:$AD$13</definedName>
    <definedName name="_xlchart.v1.6" hidden="1">'Pivot '!$Q$10:$Q$12</definedName>
    <definedName name="_xlchart.v1.7" hidden="1">'Pivot '!$R$10:$R$12</definedName>
    <definedName name="_xlchart.v1.8" hidden="1">'Pivot '!$R$9</definedName>
    <definedName name="_xlchart.v1.9" hidden="1">'Pivot '!$AC$11:$AC$13</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 l="1"/>
  <c r="A2" i="2"/>
  <c r="J17" i="2"/>
  <c r="J21" i="2"/>
  <c r="F14" i="2"/>
  <c r="K16" i="2"/>
  <c r="C2" i="2"/>
  <c r="F12" i="2"/>
  <c r="J16" i="2"/>
  <c r="G13" i="2"/>
  <c r="K19" i="2"/>
  <c r="C7" i="2"/>
  <c r="J18" i="2"/>
  <c r="R11" i="2"/>
  <c r="G12" i="2"/>
  <c r="G14" i="2"/>
  <c r="G15" i="2"/>
  <c r="F13" i="2"/>
  <c r="J20" i="2"/>
  <c r="K17" i="2"/>
  <c r="AD11" i="2"/>
  <c r="AD13" i="2"/>
  <c r="K20" i="2"/>
  <c r="J19" i="2"/>
  <c r="F2" i="2"/>
  <c r="J22" i="2"/>
  <c r="K21" i="2"/>
  <c r="AD12" i="2"/>
  <c r="F15" i="2"/>
  <c r="R10" i="2"/>
  <c r="K22" i="2"/>
  <c r="R12" i="2"/>
  <c r="K18" i="2"/>
  <c r="J23" i="2"/>
  <c r="K23" i="2"/>
  <c r="AD14" i="2" l="1"/>
  <c r="G16" i="2"/>
  <c r="J24" i="2"/>
  <c r="F16" i="2"/>
  <c r="K24" i="2"/>
</calcChain>
</file>

<file path=xl/sharedStrings.xml><?xml version="1.0" encoding="utf-8"?>
<sst xmlns="http://schemas.openxmlformats.org/spreadsheetml/2006/main" count="6142" uniqueCount="1459">
  <si>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</si>
  <si>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</si>
  <si>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</si>
  <si>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</si>
  <si>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</si>
  <si>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</si>
  <si>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</si>
  <si>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</si>
  <si>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</si>
  <si>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</si>
  <si>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</si>
  <si>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</si>
  <si>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</si>
  <si>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</si>
  <si>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</si>
  <si>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</si>
  <si>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</si>
  <si>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</si>
  <si>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</si>
  <si>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</si>
  <si>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</si>
  <si>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ORD1000</t>
  </si>
  <si>
    <t>Amit Sharma</t>
  </si>
  <si>
    <t>CUST449</t>
  </si>
  <si>
    <t>South</t>
  </si>
  <si>
    <t>Kolkata</t>
  </si>
  <si>
    <t>Online</t>
  </si>
  <si>
    <t>Clothing</t>
  </si>
  <si>
    <t>Rice</t>
  </si>
  <si>
    <t>Boat Headphones</t>
  </si>
  <si>
    <t>PROD5028</t>
  </si>
  <si>
    <t>UPI</t>
  </si>
  <si>
    <t>Delivered</t>
  </si>
  <si>
    <t>ORD1001</t>
  </si>
  <si>
    <t>Kiran Patel</t>
  </si>
  <si>
    <t>CUST927</t>
  </si>
  <si>
    <t>East</t>
  </si>
  <si>
    <t>Pune</t>
  </si>
  <si>
    <t>Distributor</t>
  </si>
  <si>
    <t>Electronics</t>
  </si>
  <si>
    <t>Headphones</t>
  </si>
  <si>
    <t>Basmati Rice</t>
  </si>
  <si>
    <t>PROD3101</t>
  </si>
  <si>
    <t>Credit Card</t>
  </si>
  <si>
    <t>Cancelled</t>
  </si>
  <si>
    <t>ORD1002</t>
  </si>
  <si>
    <t>Manoj Kumar</t>
  </si>
  <si>
    <t>CUST923</t>
  </si>
  <si>
    <t>North</t>
  </si>
  <si>
    <t>Delhi</t>
  </si>
  <si>
    <t>Shoes</t>
  </si>
  <si>
    <t>Nike Shoes</t>
  </si>
  <si>
    <t>PROD9617</t>
  </si>
  <si>
    <t>Cash</t>
  </si>
  <si>
    <t>ORD1003</t>
  </si>
  <si>
    <t>CUST945</t>
  </si>
  <si>
    <t>Ahmedabad</t>
  </si>
  <si>
    <t>Grocery</t>
  </si>
  <si>
    <t>PROD6950</t>
  </si>
  <si>
    <t>ORD1004</t>
  </si>
  <si>
    <t>CUST359</t>
  </si>
  <si>
    <t>PROD8210</t>
  </si>
  <si>
    <t>ORD1005</t>
  </si>
  <si>
    <t>Riya Das</t>
  </si>
  <si>
    <t>CUST618</t>
  </si>
  <si>
    <t>Lucknow</t>
  </si>
  <si>
    <t>Retail Store</t>
  </si>
  <si>
    <t>Dell Laptop</t>
  </si>
  <si>
    <t>PROD9321</t>
  </si>
  <si>
    <t>Pending</t>
  </si>
  <si>
    <t>ORD1006</t>
  </si>
  <si>
    <t>Arjun Mehta</t>
  </si>
  <si>
    <t>CUST412</t>
  </si>
  <si>
    <t>West</t>
  </si>
  <si>
    <t>Chennai</t>
  </si>
  <si>
    <t>Mobile</t>
  </si>
  <si>
    <t>PROD1840</t>
  </si>
  <si>
    <t>ORD1007</t>
  </si>
  <si>
    <t>iPhone</t>
  </si>
  <si>
    <t>PROD4926</t>
  </si>
  <si>
    <t>ORD1008</t>
  </si>
  <si>
    <t>Rohit Verma</t>
  </si>
  <si>
    <t>CUST273</t>
  </si>
  <si>
    <t>Jaipur</t>
  </si>
  <si>
    <t>PROD5581</t>
  </si>
  <si>
    <t>ORD1009</t>
  </si>
  <si>
    <t>Neha Gupta</t>
  </si>
  <si>
    <t>CUST539</t>
  </si>
  <si>
    <t>Laptop</t>
  </si>
  <si>
    <t>PROD4110</t>
  </si>
  <si>
    <t>Debit Card</t>
  </si>
  <si>
    <t>ORD1010</t>
  </si>
  <si>
    <t>Priya Nair</t>
  </si>
  <si>
    <t>CUST718</t>
  </si>
  <si>
    <t>Mumbai</t>
  </si>
  <si>
    <t>PROD2793</t>
  </si>
  <si>
    <t>ORD1011</t>
  </si>
  <si>
    <t>CUST667</t>
  </si>
  <si>
    <t>PROD9867</t>
  </si>
  <si>
    <t>ORD1012</t>
  </si>
  <si>
    <t>CUST550</t>
  </si>
  <si>
    <t>Shirt</t>
  </si>
  <si>
    <t>PROD6781</t>
  </si>
  <si>
    <t>ORD1013</t>
  </si>
  <si>
    <t>CUST238</t>
  </si>
  <si>
    <t>PROD4334</t>
  </si>
  <si>
    <t>ORD1014</t>
  </si>
  <si>
    <t>CUST396</t>
  </si>
  <si>
    <t>PROD3026</t>
  </si>
  <si>
    <t>ORD1015</t>
  </si>
  <si>
    <t>CUST174</t>
  </si>
  <si>
    <t>PROD3358</t>
  </si>
  <si>
    <t>ORD1016</t>
  </si>
  <si>
    <t>CUST200</t>
  </si>
  <si>
    <t>PROD4856</t>
  </si>
  <si>
    <t>ORD1017</t>
  </si>
  <si>
    <t>CUST198</t>
  </si>
  <si>
    <t>Polo Shirt</t>
  </si>
  <si>
    <t>PROD6523</t>
  </si>
  <si>
    <t>ORD1018</t>
  </si>
  <si>
    <t>Sana Khan</t>
  </si>
  <si>
    <t>CUST596</t>
  </si>
  <si>
    <t>PROD7056</t>
  </si>
  <si>
    <t>ORD1019</t>
  </si>
  <si>
    <t>CUST797</t>
  </si>
  <si>
    <t>PROD5469</t>
  </si>
  <si>
    <t>ORD1020</t>
  </si>
  <si>
    <t>CUST353</t>
  </si>
  <si>
    <t>PROD5257</t>
  </si>
  <si>
    <t>ORD1021</t>
  </si>
  <si>
    <t>CUST495</t>
  </si>
  <si>
    <t>PROD5716</t>
  </si>
  <si>
    <t>ORD1022</t>
  </si>
  <si>
    <t>PROD6167</t>
  </si>
  <si>
    <t>ORD1023</t>
  </si>
  <si>
    <t>CUST841</t>
  </si>
  <si>
    <t>PROD8029</t>
  </si>
  <si>
    <t>ORD1024</t>
  </si>
  <si>
    <t>CUST608</t>
  </si>
  <si>
    <t>PROD2030</t>
  </si>
  <si>
    <t>ORD1025</t>
  </si>
  <si>
    <t>CUST955</t>
  </si>
  <si>
    <t>PROD6841</t>
  </si>
  <si>
    <t>ORD1026</t>
  </si>
  <si>
    <t>CUST332</t>
  </si>
  <si>
    <t>PROD3786</t>
  </si>
  <si>
    <t>ORD1027</t>
  </si>
  <si>
    <t>Vikas Singh</t>
  </si>
  <si>
    <t>CUST393</t>
  </si>
  <si>
    <t>PROD5590</t>
  </si>
  <si>
    <t>ORD1028</t>
  </si>
  <si>
    <t>CUST887</t>
  </si>
  <si>
    <t>PROD6648</t>
  </si>
  <si>
    <t>ORD1029</t>
  </si>
  <si>
    <t>CUST355</t>
  </si>
  <si>
    <t>PROD6464</t>
  </si>
  <si>
    <t>ORD1030</t>
  </si>
  <si>
    <t>CUST225</t>
  </si>
  <si>
    <t>PROD5906</t>
  </si>
  <si>
    <t>ORD1031</t>
  </si>
  <si>
    <t>CUST601</t>
  </si>
  <si>
    <t>PROD3474</t>
  </si>
  <si>
    <t>ORD1032</t>
  </si>
  <si>
    <t>CUST611</t>
  </si>
  <si>
    <t>PROD5990</t>
  </si>
  <si>
    <t>ORD1033</t>
  </si>
  <si>
    <t>CUST649</t>
  </si>
  <si>
    <t>PROD4044</t>
  </si>
  <si>
    <t>ORD1034</t>
  </si>
  <si>
    <t>CUST889</t>
  </si>
  <si>
    <t>PROD7380</t>
  </si>
  <si>
    <t>ORD1035</t>
  </si>
  <si>
    <t>CUST308</t>
  </si>
  <si>
    <t>PROD9587</t>
  </si>
  <si>
    <t>ORD1036</t>
  </si>
  <si>
    <t>CUST293</t>
  </si>
  <si>
    <t>PROD4002</t>
  </si>
  <si>
    <t>ORD1037</t>
  </si>
  <si>
    <t>CUST141</t>
  </si>
  <si>
    <t>PROD7283</t>
  </si>
  <si>
    <t>ORD1038</t>
  </si>
  <si>
    <t>CUST383</t>
  </si>
  <si>
    <t>PROD3006</t>
  </si>
  <si>
    <t>ORD1039</t>
  </si>
  <si>
    <t>CUST257</t>
  </si>
  <si>
    <t>PROD9633</t>
  </si>
  <si>
    <t>ORD1040</t>
  </si>
  <si>
    <t>CUST940</t>
  </si>
  <si>
    <t>PROD4152</t>
  </si>
  <si>
    <t>ORD1041</t>
  </si>
  <si>
    <t>CUST466</t>
  </si>
  <si>
    <t>PROD2912</t>
  </si>
  <si>
    <t>ORD1042</t>
  </si>
  <si>
    <t>CUST104</t>
  </si>
  <si>
    <t>PROD6141</t>
  </si>
  <si>
    <t>ORD1043</t>
  </si>
  <si>
    <t>CUST316</t>
  </si>
  <si>
    <t>PROD2689</t>
  </si>
  <si>
    <t>ORD1044</t>
  </si>
  <si>
    <t>CUST415</t>
  </si>
  <si>
    <t>PROD1610</t>
  </si>
  <si>
    <t>ORD1045</t>
  </si>
  <si>
    <t>CUST107</t>
  </si>
  <si>
    <t>PROD5835</t>
  </si>
  <si>
    <t>ORD1046</t>
  </si>
  <si>
    <t>CUST492</t>
  </si>
  <si>
    <t>PROD8737</t>
  </si>
  <si>
    <t>ORD1047</t>
  </si>
  <si>
    <t>CUST146</t>
  </si>
  <si>
    <t>PROD6759</t>
  </si>
  <si>
    <t>ORD1048</t>
  </si>
  <si>
    <t>CUST523</t>
  </si>
  <si>
    <t>PROD6085</t>
  </si>
  <si>
    <t>ORD1049</t>
  </si>
  <si>
    <t>CUST122</t>
  </si>
  <si>
    <t>PROD9210</t>
  </si>
  <si>
    <t>ORD1050</t>
  </si>
  <si>
    <t>CUST819</t>
  </si>
  <si>
    <t>PROD9375</t>
  </si>
  <si>
    <t>ORD1051</t>
  </si>
  <si>
    <t>CUST430</t>
  </si>
  <si>
    <t>PROD5740</t>
  </si>
  <si>
    <t>ORD1052</t>
  </si>
  <si>
    <t>CUST890</t>
  </si>
  <si>
    <t>PROD3364</t>
  </si>
  <si>
    <t>ORD1053</t>
  </si>
  <si>
    <t>CUST801</t>
  </si>
  <si>
    <t>PROD9166</t>
  </si>
  <si>
    <t>ORD1054</t>
  </si>
  <si>
    <t>CUST929</t>
  </si>
  <si>
    <t>PROD3723</t>
  </si>
  <si>
    <t>ORD1055</t>
  </si>
  <si>
    <t>CUST144</t>
  </si>
  <si>
    <t>PROD6947</t>
  </si>
  <si>
    <t>ORD1056</t>
  </si>
  <si>
    <t>CUST883</t>
  </si>
  <si>
    <t>PROD5672</t>
  </si>
  <si>
    <t>ORD1057</t>
  </si>
  <si>
    <t>CUST892</t>
  </si>
  <si>
    <t>PROD2723</t>
  </si>
  <si>
    <t>ORD1058</t>
  </si>
  <si>
    <t>CUST120</t>
  </si>
  <si>
    <t>PROD5515</t>
  </si>
  <si>
    <t>ORD1059</t>
  </si>
  <si>
    <t>CUST998</t>
  </si>
  <si>
    <t>PROD4954</t>
  </si>
  <si>
    <t>ORD1060</t>
  </si>
  <si>
    <t>CUST301</t>
  </si>
  <si>
    <t>PROD6192</t>
  </si>
  <si>
    <t>ORD1061</t>
  </si>
  <si>
    <t>PROD6039</t>
  </si>
  <si>
    <t>ORD1062</t>
  </si>
  <si>
    <t>CUST231</t>
  </si>
  <si>
    <t>PROD9357</t>
  </si>
  <si>
    <t>ORD1063</t>
  </si>
  <si>
    <t>CUST680</t>
  </si>
  <si>
    <t>PROD7905</t>
  </si>
  <si>
    <t>ORD1064</t>
  </si>
  <si>
    <t>CUST814</t>
  </si>
  <si>
    <t>PROD5340</t>
  </si>
  <si>
    <t>ORD1065</t>
  </si>
  <si>
    <t>CUST181</t>
  </si>
  <si>
    <t>PROD1123</t>
  </si>
  <si>
    <t>ORD1066</t>
  </si>
  <si>
    <t>CUST882</t>
  </si>
  <si>
    <t>PROD4418</t>
  </si>
  <si>
    <t>ORD1067</t>
  </si>
  <si>
    <t>CUST483</t>
  </si>
  <si>
    <t>PROD1341</t>
  </si>
  <si>
    <t>ORD1068</t>
  </si>
  <si>
    <t>CUST149</t>
  </si>
  <si>
    <t>PROD2022</t>
  </si>
  <si>
    <t>ORD1069</t>
  </si>
  <si>
    <t>CUST920</t>
  </si>
  <si>
    <t>PROD3517</t>
  </si>
  <si>
    <t>ORD1070</t>
  </si>
  <si>
    <t>CUST389</t>
  </si>
  <si>
    <t>PROD4424</t>
  </si>
  <si>
    <t>ORD1071</t>
  </si>
  <si>
    <t>CUST863</t>
  </si>
  <si>
    <t>PROD8165</t>
  </si>
  <si>
    <t>ORD1072</t>
  </si>
  <si>
    <t>CUST256</t>
  </si>
  <si>
    <t>PROD9177</t>
  </si>
  <si>
    <t>ORD1073</t>
  </si>
  <si>
    <t>CUST592</t>
  </si>
  <si>
    <t>PROD3876</t>
  </si>
  <si>
    <t>ORD1074</t>
  </si>
  <si>
    <t>CUST818</t>
  </si>
  <si>
    <t>PROD4921</t>
  </si>
  <si>
    <t>ORD1075</t>
  </si>
  <si>
    <t>CUST526</t>
  </si>
  <si>
    <t>PROD1142</t>
  </si>
  <si>
    <t>ORD1076</t>
  </si>
  <si>
    <t>CUST679</t>
  </si>
  <si>
    <t>PROD2205</t>
  </si>
  <si>
    <t>ORD1077</t>
  </si>
  <si>
    <t>CUST297</t>
  </si>
  <si>
    <t>PROD9584</t>
  </si>
  <si>
    <t>ORD1078</t>
  </si>
  <si>
    <t>CUST305</t>
  </si>
  <si>
    <t>PROD7649</t>
  </si>
  <si>
    <t>ORD1079</t>
  </si>
  <si>
    <t>CUST203</t>
  </si>
  <si>
    <t>PROD3205</t>
  </si>
  <si>
    <t>ORD1080</t>
  </si>
  <si>
    <t>CUST898</t>
  </si>
  <si>
    <t>PROD6076</t>
  </si>
  <si>
    <t>ORD1081</t>
  </si>
  <si>
    <t>CUST154</t>
  </si>
  <si>
    <t>PROD9315</t>
  </si>
  <si>
    <t>ORD1082</t>
  </si>
  <si>
    <t>CUST463</t>
  </si>
  <si>
    <t>PROD4480</t>
  </si>
  <si>
    <t>ORD1083</t>
  </si>
  <si>
    <t>CUST421</t>
  </si>
  <si>
    <t>PROD3944</t>
  </si>
  <si>
    <t>ORD1084</t>
  </si>
  <si>
    <t>CUST960</t>
  </si>
  <si>
    <t>PROD3790</t>
  </si>
  <si>
    <t>ORD1085</t>
  </si>
  <si>
    <t>CUST140</t>
  </si>
  <si>
    <t>PROD2139</t>
  </si>
  <si>
    <t>ORD1086</t>
  </si>
  <si>
    <t>CUST361</t>
  </si>
  <si>
    <t>PROD2095</t>
  </si>
  <si>
    <t>ORD1087</t>
  </si>
  <si>
    <t>CUST931</t>
  </si>
  <si>
    <t>PROD7724</t>
  </si>
  <si>
    <t>ORD1088</t>
  </si>
  <si>
    <t>CUST418</t>
  </si>
  <si>
    <t>PROD5624</t>
  </si>
  <si>
    <t>ORD1089</t>
  </si>
  <si>
    <t>CUST731</t>
  </si>
  <si>
    <t>PROD5294</t>
  </si>
  <si>
    <t>ORD1090</t>
  </si>
  <si>
    <t>CUST490</t>
  </si>
  <si>
    <t>PROD2009</t>
  </si>
  <si>
    <t>ORD1091</t>
  </si>
  <si>
    <t>CUST195</t>
  </si>
  <si>
    <t>PROD9855</t>
  </si>
  <si>
    <t>ORD1092</t>
  </si>
  <si>
    <t>CUST599</t>
  </si>
  <si>
    <t>PROD3473</t>
  </si>
  <si>
    <t>ORD1093</t>
  </si>
  <si>
    <t>CUST665</t>
  </si>
  <si>
    <t>PROD4048</t>
  </si>
  <si>
    <t>ORD1094</t>
  </si>
  <si>
    <t>CUST862</t>
  </si>
  <si>
    <t>PROD5880</t>
  </si>
  <si>
    <t>ORD1095</t>
  </si>
  <si>
    <t>CUST793</t>
  </si>
  <si>
    <t>PROD8860</t>
  </si>
  <si>
    <t>ORD1096</t>
  </si>
  <si>
    <t>CUST444</t>
  </si>
  <si>
    <t>PROD9581</t>
  </si>
  <si>
    <t>ORD1097</t>
  </si>
  <si>
    <t>CUST175</t>
  </si>
  <si>
    <t>PROD9169</t>
  </si>
  <si>
    <t>ORD1098</t>
  </si>
  <si>
    <t>CUST513</t>
  </si>
  <si>
    <t>PROD3837</t>
  </si>
  <si>
    <t>ORD1099</t>
  </si>
  <si>
    <t>CUST506</t>
  </si>
  <si>
    <t>PROD2466</t>
  </si>
  <si>
    <t>ORD1100</t>
  </si>
  <si>
    <t>PROD7826</t>
  </si>
  <si>
    <t>ORD1101</t>
  </si>
  <si>
    <t>CUST918</t>
  </si>
  <si>
    <t>PROD8982</t>
  </si>
  <si>
    <t>ORD1102</t>
  </si>
  <si>
    <t>CUST314</t>
  </si>
  <si>
    <t>PROD3909</t>
  </si>
  <si>
    <t>ORD1103</t>
  </si>
  <si>
    <t>CUST311</t>
  </si>
  <si>
    <t>PROD2390</t>
  </si>
  <si>
    <t>ORD1104</t>
  </si>
  <si>
    <t>CUST363</t>
  </si>
  <si>
    <t>PROD5930</t>
  </si>
  <si>
    <t>ORD1105</t>
  </si>
  <si>
    <t>PROD7664</t>
  </si>
  <si>
    <t>ORD1106</t>
  </si>
  <si>
    <t>PROD9188</t>
  </si>
  <si>
    <t>ORD1107</t>
  </si>
  <si>
    <t>PROD5826</t>
  </si>
  <si>
    <t>ORD1108</t>
  </si>
  <si>
    <t>CUST216</t>
  </si>
  <si>
    <t>PROD6923</t>
  </si>
  <si>
    <t>ORD1109</t>
  </si>
  <si>
    <t>CUST572</t>
  </si>
  <si>
    <t>PROD2703</t>
  </si>
  <si>
    <t>ORD1110</t>
  </si>
  <si>
    <t>CUST499</t>
  </si>
  <si>
    <t>PROD9397</t>
  </si>
  <si>
    <t>ORD1111</t>
  </si>
  <si>
    <t>CUST199</t>
  </si>
  <si>
    <t>PROD3997</t>
  </si>
  <si>
    <t>ORD1112</t>
  </si>
  <si>
    <t>CUST653</t>
  </si>
  <si>
    <t>ORD1113</t>
  </si>
  <si>
    <t>CUST609</t>
  </si>
  <si>
    <t>PROD9247</t>
  </si>
  <si>
    <t>ORD1114</t>
  </si>
  <si>
    <t>CUST187</t>
  </si>
  <si>
    <t>PROD4865</t>
  </si>
  <si>
    <t>ORD1115</t>
  </si>
  <si>
    <t>CUST634</t>
  </si>
  <si>
    <t>PROD8661</t>
  </si>
  <si>
    <t>ORD1116</t>
  </si>
  <si>
    <t>CUST713</t>
  </si>
  <si>
    <t>PROD1876</t>
  </si>
  <si>
    <t>ORD1117</t>
  </si>
  <si>
    <t>CUST190</t>
  </si>
  <si>
    <t>PROD1842</t>
  </si>
  <si>
    <t>ORD1118</t>
  </si>
  <si>
    <t>CUST765</t>
  </si>
  <si>
    <t>PROD4031</t>
  </si>
  <si>
    <t>ORD1119</t>
  </si>
  <si>
    <t>PROD6336</t>
  </si>
  <si>
    <t>ORD1120</t>
  </si>
  <si>
    <t>CUST325</t>
  </si>
  <si>
    <t>PROD2784</t>
  </si>
  <si>
    <t>ORD1121</t>
  </si>
  <si>
    <t>CUST284</t>
  </si>
  <si>
    <t>PROD9898</t>
  </si>
  <si>
    <t>ORD1122</t>
  </si>
  <si>
    <t>CUST126</t>
  </si>
  <si>
    <t>PROD2111</t>
  </si>
  <si>
    <t>ORD1123</t>
  </si>
  <si>
    <t>PROD8826</t>
  </si>
  <si>
    <t>ORD1124</t>
  </si>
  <si>
    <t>PROD6055</t>
  </si>
  <si>
    <t>ORD1125</t>
  </si>
  <si>
    <t>CUST549</t>
  </si>
  <si>
    <t>PROD2945</t>
  </si>
  <si>
    <t>ORD1126</t>
  </si>
  <si>
    <t>CUST465</t>
  </si>
  <si>
    <t>PROD4292</t>
  </si>
  <si>
    <t>ORD1127</t>
  </si>
  <si>
    <t>CUST985</t>
  </si>
  <si>
    <t>PROD2431</t>
  </si>
  <si>
    <t>ORD1128</t>
  </si>
  <si>
    <t>PROD4337</t>
  </si>
  <si>
    <t>ORD1129</t>
  </si>
  <si>
    <t>CUST472</t>
  </si>
  <si>
    <t>PROD7011</t>
  </si>
  <si>
    <t>ORD1130</t>
  </si>
  <si>
    <t>CUST508</t>
  </si>
  <si>
    <t>PROD9661</t>
  </si>
  <si>
    <t>ORD1131</t>
  </si>
  <si>
    <t>PROD7936</t>
  </si>
  <si>
    <t>ORD1132</t>
  </si>
  <si>
    <t>PROD4826</t>
  </si>
  <si>
    <t>ORD1133</t>
  </si>
  <si>
    <t>PROD2555</t>
  </si>
  <si>
    <t>ORD1134</t>
  </si>
  <si>
    <t>CUST858</t>
  </si>
  <si>
    <t>ORD1135</t>
  </si>
  <si>
    <t>CUST411</t>
  </si>
  <si>
    <t>PROD4754</t>
  </si>
  <si>
    <t>ORD1136</t>
  </si>
  <si>
    <t>CUST255</t>
  </si>
  <si>
    <t>PROD8866</t>
  </si>
  <si>
    <t>ORD1137</t>
  </si>
  <si>
    <t>CUST734</t>
  </si>
  <si>
    <t>PROD3304</t>
  </si>
  <si>
    <t>ORD1138</t>
  </si>
  <si>
    <t>CUST563</t>
  </si>
  <si>
    <t>PROD1031</t>
  </si>
  <si>
    <t>ORD1139</t>
  </si>
  <si>
    <t>CUST182</t>
  </si>
  <si>
    <t>PROD6519</t>
  </si>
  <si>
    <t>ORD1140</t>
  </si>
  <si>
    <t>CUST976</t>
  </si>
  <si>
    <t>PROD7893</t>
  </si>
  <si>
    <t>ORD1141</t>
  </si>
  <si>
    <t>CUST839</t>
  </si>
  <si>
    <t>PROD4870</t>
  </si>
  <si>
    <t>ORD1142</t>
  </si>
  <si>
    <t>CUST685</t>
  </si>
  <si>
    <t>PROD6610</t>
  </si>
  <si>
    <t>ORD1143</t>
  </si>
  <si>
    <t>PROD3095</t>
  </si>
  <si>
    <t>ORD1144</t>
  </si>
  <si>
    <t>CUST894</t>
  </si>
  <si>
    <t>PROD7578</t>
  </si>
  <si>
    <t>ORD1145</t>
  </si>
  <si>
    <t>CUST736</t>
  </si>
  <si>
    <t>PROD5444</t>
  </si>
  <si>
    <t>ORD1146</t>
  </si>
  <si>
    <t>CUST872</t>
  </si>
  <si>
    <t>PROD4677</t>
  </si>
  <si>
    <t>ORD1147</t>
  </si>
  <si>
    <t>CUST659</t>
  </si>
  <si>
    <t>PROD8863</t>
  </si>
  <si>
    <t>ORD1148</t>
  </si>
  <si>
    <t>CUST817</t>
  </si>
  <si>
    <t>PROD1129</t>
  </si>
  <si>
    <t>ORD1149</t>
  </si>
  <si>
    <t>PROD6424</t>
  </si>
  <si>
    <t>ORD1150</t>
  </si>
  <si>
    <t>CUST830</t>
  </si>
  <si>
    <t>ORD1151</t>
  </si>
  <si>
    <t>CUST241</t>
  </si>
  <si>
    <t>PROD7954</t>
  </si>
  <si>
    <t>ORD1152</t>
  </si>
  <si>
    <t>PROD5183</t>
  </si>
  <si>
    <t>ORD1153</t>
  </si>
  <si>
    <t>CUST742</t>
  </si>
  <si>
    <t>PROD4711</t>
  </si>
  <si>
    <t>ORD1154</t>
  </si>
  <si>
    <t>CUST564</t>
  </si>
  <si>
    <t>PROD5237</t>
  </si>
  <si>
    <t>ORD1155</t>
  </si>
  <si>
    <t>CUST652</t>
  </si>
  <si>
    <t>PROD6412</t>
  </si>
  <si>
    <t>ORD1156</t>
  </si>
  <si>
    <t>CUST979</t>
  </si>
  <si>
    <t>PROD8650</t>
  </si>
  <si>
    <t>ORD1157</t>
  </si>
  <si>
    <t>CUST300</t>
  </si>
  <si>
    <t>PROD4420</t>
  </si>
  <si>
    <t>ORD1158</t>
  </si>
  <si>
    <t>CUST732</t>
  </si>
  <si>
    <t>PROD2834</t>
  </si>
  <si>
    <t>ORD1159</t>
  </si>
  <si>
    <t>PROD2564</t>
  </si>
  <si>
    <t>ORD1160</t>
  </si>
  <si>
    <t>CUST812</t>
  </si>
  <si>
    <t>PROD2511</t>
  </si>
  <si>
    <t>ORD1161</t>
  </si>
  <si>
    <t>CUST809</t>
  </si>
  <si>
    <t>PROD6832</t>
  </si>
  <si>
    <t>ORD1162</t>
  </si>
  <si>
    <t>PROD9739</t>
  </si>
  <si>
    <t>ORD1163</t>
  </si>
  <si>
    <t>CUST583</t>
  </si>
  <si>
    <t>PROD3201</t>
  </si>
  <si>
    <t>ORD1164</t>
  </si>
  <si>
    <t>CUST820</t>
  </si>
  <si>
    <t>PROD7789</t>
  </si>
  <si>
    <t>ORD1165</t>
  </si>
  <si>
    <t>CUST673</t>
  </si>
  <si>
    <t>PROD8138</t>
  </si>
  <si>
    <t>ORD1166</t>
  </si>
  <si>
    <t>CUST275</t>
  </si>
  <si>
    <t>PROD7280</t>
  </si>
  <si>
    <t>ORD1167</t>
  </si>
  <si>
    <t>CUST654</t>
  </si>
  <si>
    <t>PROD3600</t>
  </si>
  <si>
    <t>ORD1168</t>
  </si>
  <si>
    <t>CUST505</t>
  </si>
  <si>
    <t>PROD5915</t>
  </si>
  <si>
    <t>ORD1169</t>
  </si>
  <si>
    <t>CUST485</t>
  </si>
  <si>
    <t>ORD1170</t>
  </si>
  <si>
    <t>CUST865</t>
  </si>
  <si>
    <t>PROD4822</t>
  </si>
  <si>
    <t>ORD1171</t>
  </si>
  <si>
    <t>CUST346</t>
  </si>
  <si>
    <t>PROD8281</t>
  </si>
  <si>
    <t>ORD1172</t>
  </si>
  <si>
    <t>CUST432</t>
  </si>
  <si>
    <t>PROD6726</t>
  </si>
  <si>
    <t>ORD1173</t>
  </si>
  <si>
    <t>CUST584</t>
  </si>
  <si>
    <t>PROD3595</t>
  </si>
  <si>
    <t>ORD1174</t>
  </si>
  <si>
    <t>CUST763</t>
  </si>
  <si>
    <t>PROD6893</t>
  </si>
  <si>
    <t>ORD1175</t>
  </si>
  <si>
    <t>CUST244</t>
  </si>
  <si>
    <t>PROD9932</t>
  </si>
  <si>
    <t>ORD1176</t>
  </si>
  <si>
    <t>CUST324</t>
  </si>
  <si>
    <t>PROD8067</t>
  </si>
  <si>
    <t>ORD1177</t>
  </si>
  <si>
    <t>PROD7962</t>
  </si>
  <si>
    <t>ORD1178</t>
  </si>
  <si>
    <t>PROD5110</t>
  </si>
  <si>
    <t>ORD1179</t>
  </si>
  <si>
    <t>CUST729</t>
  </si>
  <si>
    <t>PROD4058</t>
  </si>
  <si>
    <t>ORD1180</t>
  </si>
  <si>
    <t>CUST575</t>
  </si>
  <si>
    <t>PROD3278</t>
  </si>
  <si>
    <t>ORD1181</t>
  </si>
  <si>
    <t>CUST886</t>
  </si>
  <si>
    <t>PROD3613</t>
  </si>
  <si>
    <t>ORD1182</t>
  </si>
  <si>
    <t>CUST704</t>
  </si>
  <si>
    <t>PROD1508</t>
  </si>
  <si>
    <t>ORD1183</t>
  </si>
  <si>
    <t>CUST409</t>
  </si>
  <si>
    <t>PROD2060</t>
  </si>
  <si>
    <t>ORD1184</t>
  </si>
  <si>
    <t>CUST263</t>
  </si>
  <si>
    <t>PROD8597</t>
  </si>
  <si>
    <t>ORD1185</t>
  </si>
  <si>
    <t>CUST151</t>
  </si>
  <si>
    <t>PROD8144</t>
  </si>
  <si>
    <t>ORD1186</t>
  </si>
  <si>
    <t>CUST148</t>
  </si>
  <si>
    <t>PROD4201</t>
  </si>
  <si>
    <t>ORD1187</t>
  </si>
  <si>
    <t>CUST694</t>
  </si>
  <si>
    <t>PROD9373</t>
  </si>
  <si>
    <t>ORD1188</t>
  </si>
  <si>
    <t>CUST726</t>
  </si>
  <si>
    <t>PROD3961</t>
  </si>
  <si>
    <t>ORD1189</t>
  </si>
  <si>
    <t>CUST381</t>
  </si>
  <si>
    <t>PROD5551</t>
  </si>
  <si>
    <t>ORD1190</t>
  </si>
  <si>
    <t>CUST678</t>
  </si>
  <si>
    <t>PROD5151</t>
  </si>
  <si>
    <t>ORD1191</t>
  </si>
  <si>
    <t>CUST870</t>
  </si>
  <si>
    <t>PROD9028</t>
  </si>
  <si>
    <t>ORD1192</t>
  </si>
  <si>
    <t>CUST442</t>
  </si>
  <si>
    <t>PROD5787</t>
  </si>
  <si>
    <t>ORD1193</t>
  </si>
  <si>
    <t>CUST803</t>
  </si>
  <si>
    <t>PROD9596</t>
  </si>
  <si>
    <t>ORD1194</t>
  </si>
  <si>
    <t>PROD6922</t>
  </si>
  <si>
    <t>ORD1195</t>
  </si>
  <si>
    <t>CUST153</t>
  </si>
  <si>
    <t>PROD6799</t>
  </si>
  <si>
    <t>ORD1196</t>
  </si>
  <si>
    <t>CUST724</t>
  </si>
  <si>
    <t>PROD8603</t>
  </si>
  <si>
    <t>ORD1197</t>
  </si>
  <si>
    <t>CUST854</t>
  </si>
  <si>
    <t>PROD5217</t>
  </si>
  <si>
    <t>ORD1198</t>
  </si>
  <si>
    <t>CUST388</t>
  </si>
  <si>
    <t>PROD2377</t>
  </si>
  <si>
    <t>ORD1199</t>
  </si>
  <si>
    <t>PROD8035</t>
  </si>
  <si>
    <t>ORD1200</t>
  </si>
  <si>
    <t>CUST166</t>
  </si>
  <si>
    <t>PROD1505</t>
  </si>
  <si>
    <t>ORD1201</t>
  </si>
  <si>
    <t>PROD8755</t>
  </si>
  <si>
    <t>ORD1202</t>
  </si>
  <si>
    <t>CUST397</t>
  </si>
  <si>
    <t>ORD1203</t>
  </si>
  <si>
    <t>CUST832</t>
  </si>
  <si>
    <t>PROD1006</t>
  </si>
  <si>
    <t>ORD1204</t>
  </si>
  <si>
    <t>CUST221</t>
  </si>
  <si>
    <t>PROD2526</t>
  </si>
  <si>
    <t>ORD1205</t>
  </si>
  <si>
    <t>CUST214</t>
  </si>
  <si>
    <t>PROD2077</t>
  </si>
  <si>
    <t>ORD1206</t>
  </si>
  <si>
    <t>CUST631</t>
  </si>
  <si>
    <t>PROD6204</t>
  </si>
  <si>
    <t>ORD1207</t>
  </si>
  <si>
    <t>CUST764</t>
  </si>
  <si>
    <t>PROD1657</t>
  </si>
  <si>
    <t>ORD1208</t>
  </si>
  <si>
    <t>CUST578</t>
  </si>
  <si>
    <t>PROD1820</t>
  </si>
  <si>
    <t>ORD1209</t>
  </si>
  <si>
    <t>CUST527</t>
  </si>
  <si>
    <t>PROD2823</t>
  </si>
  <si>
    <t>ORD1210</t>
  </si>
  <si>
    <t>CUST577</t>
  </si>
  <si>
    <t>PROD1662</t>
  </si>
  <si>
    <t>ORD1211</t>
  </si>
  <si>
    <t>PROD4783</t>
  </si>
  <si>
    <t>ORD1212</t>
  </si>
  <si>
    <t>CUST364</t>
  </si>
  <si>
    <t>PROD1303</t>
  </si>
  <si>
    <t>ORD1213</t>
  </si>
  <si>
    <t>CUST344</t>
  </si>
  <si>
    <t>PROD9458</t>
  </si>
  <si>
    <t>ORD1214</t>
  </si>
  <si>
    <t>PROD7621</t>
  </si>
  <si>
    <t>ORD1215</t>
  </si>
  <si>
    <t>CUST934</t>
  </si>
  <si>
    <t>PROD2442</t>
  </si>
  <si>
    <t>ORD1216</t>
  </si>
  <si>
    <t>CUST286</t>
  </si>
  <si>
    <t>PROD3977</t>
  </si>
  <si>
    <t>ORD1217</t>
  </si>
  <si>
    <t>CUST313</t>
  </si>
  <si>
    <t>PROD2024</t>
  </si>
  <si>
    <t>ORD1218</t>
  </si>
  <si>
    <t>CUST904</t>
  </si>
  <si>
    <t>PROD4718</t>
  </si>
  <si>
    <t>ORD1219</t>
  </si>
  <si>
    <t>PROD5185</t>
  </si>
  <si>
    <t>ORD1220</t>
  </si>
  <si>
    <t>PROD9520</t>
  </si>
  <si>
    <t>ORD1221</t>
  </si>
  <si>
    <t>CUST288</t>
  </si>
  <si>
    <t>PROD3485</t>
  </si>
  <si>
    <t>ORD1222</t>
  </si>
  <si>
    <t>CUST562</t>
  </si>
  <si>
    <t>PROD1042</t>
  </si>
  <si>
    <t>ORD1223</t>
  </si>
  <si>
    <t>PROD8322</t>
  </si>
  <si>
    <t>ORD1224</t>
  </si>
  <si>
    <t>CUST281</t>
  </si>
  <si>
    <t>PROD7942</t>
  </si>
  <si>
    <t>ORD1225</t>
  </si>
  <si>
    <t>CUST868</t>
  </si>
  <si>
    <t>PROD4982</t>
  </si>
  <si>
    <t>ORD1226</t>
  </si>
  <si>
    <t>CUST434</t>
  </si>
  <si>
    <t>PROD1017</t>
  </si>
  <si>
    <t>ORD1227</t>
  </si>
  <si>
    <t>CUST684</t>
  </si>
  <si>
    <t>PROD1141</t>
  </si>
  <si>
    <t>ORD1228</t>
  </si>
  <si>
    <t>CUST401</t>
  </si>
  <si>
    <t>PROD1009</t>
  </si>
  <si>
    <t>ORD1229</t>
  </si>
  <si>
    <t>PROD9909</t>
  </si>
  <si>
    <t>ORD1230</t>
  </si>
  <si>
    <t>PROD4019</t>
  </si>
  <si>
    <t>ORD1231</t>
  </si>
  <si>
    <t>CUST501</t>
  </si>
  <si>
    <t>PROD2088</t>
  </si>
  <si>
    <t>ORD1232</t>
  </si>
  <si>
    <t>CUST400</t>
  </si>
  <si>
    <t>PROD9694</t>
  </si>
  <si>
    <t>ORD1233</t>
  </si>
  <si>
    <t>PROD9219</t>
  </si>
  <si>
    <t>ORD1234</t>
  </si>
  <si>
    <t>CUST298</t>
  </si>
  <si>
    <t>PROD5315</t>
  </si>
  <si>
    <t>ORD1235</t>
  </si>
  <si>
    <t>CUST416</t>
  </si>
  <si>
    <t>PROD2109</t>
  </si>
  <si>
    <t>ORD1236</t>
  </si>
  <si>
    <t>CUST445</t>
  </si>
  <si>
    <t>PROD7713</t>
  </si>
  <si>
    <t>ORD1237</t>
  </si>
  <si>
    <t>CUST209</t>
  </si>
  <si>
    <t>PROD1755</t>
  </si>
  <si>
    <t>ORD1238</t>
  </si>
  <si>
    <t>CUST783</t>
  </si>
  <si>
    <t>PROD7420</t>
  </si>
  <si>
    <t>ORD1239</t>
  </si>
  <si>
    <t>CUST357</t>
  </si>
  <si>
    <t>PROD2434</t>
  </si>
  <si>
    <t>ORD1240</t>
  </si>
  <si>
    <t>CUST574</t>
  </si>
  <si>
    <t>PROD7344</t>
  </si>
  <si>
    <t>ORD1241</t>
  </si>
  <si>
    <t>CUST249</t>
  </si>
  <si>
    <t>PROD3691</t>
  </si>
  <si>
    <t>ORD1242</t>
  </si>
  <si>
    <t>CUST439</t>
  </si>
  <si>
    <t>PROD5687</t>
  </si>
  <si>
    <t>ORD1243</t>
  </si>
  <si>
    <t>PROD3856</t>
  </si>
  <si>
    <t>ORD1244</t>
  </si>
  <si>
    <t>CUST283</t>
  </si>
  <si>
    <t>PROD6390</t>
  </si>
  <si>
    <t>ORD1245</t>
  </si>
  <si>
    <t>CUST201</t>
  </si>
  <si>
    <t>PROD2610</t>
  </si>
  <si>
    <t>ORD1246</t>
  </si>
  <si>
    <t>CUST460</t>
  </si>
  <si>
    <t>PROD8812</t>
  </si>
  <si>
    <t>ORD1247</t>
  </si>
  <si>
    <t>CUST486</t>
  </si>
  <si>
    <t>PROD3906</t>
  </si>
  <si>
    <t>ORD1248</t>
  </si>
  <si>
    <t>CUST191</t>
  </si>
  <si>
    <t>ORD1249</t>
  </si>
  <si>
    <t>CUST269</t>
  </si>
  <si>
    <t>PROD9301</t>
  </si>
  <si>
    <t>ORD1250</t>
  </si>
  <si>
    <t>CUST119</t>
  </si>
  <si>
    <t>PROD6275</t>
  </si>
  <si>
    <t>ORD1251</t>
  </si>
  <si>
    <t>PROD8341</t>
  </si>
  <si>
    <t>ORD1252</t>
  </si>
  <si>
    <t>CUST360</t>
  </si>
  <si>
    <t>PROD6088</t>
  </si>
  <si>
    <t>ORD1253</t>
  </si>
  <si>
    <t>CUST186</t>
  </si>
  <si>
    <t>PROD7135</t>
  </si>
  <si>
    <t>ORD1254</t>
  </si>
  <si>
    <t>CUST517</t>
  </si>
  <si>
    <t>PROD8333</t>
  </si>
  <si>
    <t>ORD1255</t>
  </si>
  <si>
    <t>CUST657</t>
  </si>
  <si>
    <t>PROD3406</t>
  </si>
  <si>
    <t>ORD1256</t>
  </si>
  <si>
    <t>PROD3700</t>
  </si>
  <si>
    <t>ORD1257</t>
  </si>
  <si>
    <t>CUST556</t>
  </si>
  <si>
    <t>PROD2232</t>
  </si>
  <si>
    <t>ORD1258</t>
  </si>
  <si>
    <t>PROD1853</t>
  </si>
  <si>
    <t>ORD1259</t>
  </si>
  <si>
    <t>CUST901</t>
  </si>
  <si>
    <t>PROD7077</t>
  </si>
  <si>
    <t>ORD1260</t>
  </si>
  <si>
    <t>PROD2562</t>
  </si>
  <si>
    <t>ORD1261</t>
  </si>
  <si>
    <t>PROD7206</t>
  </si>
  <si>
    <t>ORD1262</t>
  </si>
  <si>
    <t>CUST822</t>
  </si>
  <si>
    <t>PROD8873</t>
  </si>
  <si>
    <t>ORD1263</t>
  </si>
  <si>
    <t>CUST246</t>
  </si>
  <si>
    <t>PROD8582</t>
  </si>
  <si>
    <t>ORD1264</t>
  </si>
  <si>
    <t>PROD5617</t>
  </si>
  <si>
    <t>ORD1265</t>
  </si>
  <si>
    <t>CUST407</t>
  </si>
  <si>
    <t>PROD2053</t>
  </si>
  <si>
    <t>ORD1266</t>
  </si>
  <si>
    <t>CUST935</t>
  </si>
  <si>
    <t>PROD2866</t>
  </si>
  <si>
    <t>ORD1267</t>
  </si>
  <si>
    <t>CUST677</t>
  </si>
  <si>
    <t>PROD5404</t>
  </si>
  <si>
    <t>ORD1268</t>
  </si>
  <si>
    <t>CUST815</t>
  </si>
  <si>
    <t>PROD3824</t>
  </si>
  <si>
    <t>ORD1269</t>
  </si>
  <si>
    <t>CUST123</t>
  </si>
  <si>
    <t>PROD2240</t>
  </si>
  <si>
    <t>ORD1270</t>
  </si>
  <si>
    <t>CUST913</t>
  </si>
  <si>
    <t>PROD1197</t>
  </si>
  <si>
    <t>ORD1271</t>
  </si>
  <si>
    <t>CUST235</t>
  </si>
  <si>
    <t>PROD7921</t>
  </si>
  <si>
    <t>ORD1272</t>
  </si>
  <si>
    <t>PROD9386</t>
  </si>
  <si>
    <t>ORD1273</t>
  </si>
  <si>
    <t>CUST440</t>
  </si>
  <si>
    <t>PROD2748</t>
  </si>
  <si>
    <t>ORD1274</t>
  </si>
  <si>
    <t>PROD8238</t>
  </si>
  <si>
    <t>ORD1275</t>
  </si>
  <si>
    <t>CUST350</t>
  </si>
  <si>
    <t>PROD3011</t>
  </si>
  <si>
    <t>ORD1276</t>
  </si>
  <si>
    <t>CUST509</t>
  </si>
  <si>
    <t>PROD1617</t>
  </si>
  <si>
    <t>ORD1277</t>
  </si>
  <si>
    <t>CUST753</t>
  </si>
  <si>
    <t>PROD7285</t>
  </si>
  <si>
    <t>ORD1278</t>
  </si>
  <si>
    <t>CUST802</t>
  </si>
  <si>
    <t>PROD6361</t>
  </si>
  <si>
    <t>ORD1279</t>
  </si>
  <si>
    <t>CUST961</t>
  </si>
  <si>
    <t>PROD1529</t>
  </si>
  <si>
    <t>ORD1280</t>
  </si>
  <si>
    <t>CUST981</t>
  </si>
  <si>
    <t>PROD5460</t>
  </si>
  <si>
    <t>ORD1281</t>
  </si>
  <si>
    <t>PROD2276</t>
  </si>
  <si>
    <t>ORD1282</t>
  </si>
  <si>
    <t>PROD5306</t>
  </si>
  <si>
    <t>ORD1283</t>
  </si>
  <si>
    <t>PROD6209</t>
  </si>
  <si>
    <t>ORD1284</t>
  </si>
  <si>
    <t>CUST850</t>
  </si>
  <si>
    <t>PROD1740</t>
  </si>
  <si>
    <t>ORD1285</t>
  </si>
  <si>
    <t>CUST993</t>
  </si>
  <si>
    <t>PROD3527</t>
  </si>
  <si>
    <t>ORD1286</t>
  </si>
  <si>
    <t>CUST702</t>
  </si>
  <si>
    <t>PROD6928</t>
  </si>
  <si>
    <t>ORD1287</t>
  </si>
  <si>
    <t>CUST669</t>
  </si>
  <si>
    <t>PROD5923</t>
  </si>
  <si>
    <t>ORD1288</t>
  </si>
  <si>
    <t>CUST437</t>
  </si>
  <si>
    <t>PROD3408</t>
  </si>
  <si>
    <t>ORD1289</t>
  </si>
  <si>
    <t>CUST339</t>
  </si>
  <si>
    <t>PROD3885</t>
  </si>
  <si>
    <t>ORD1290</t>
  </si>
  <si>
    <t>CUST768</t>
  </si>
  <si>
    <t>PROD7864</t>
  </si>
  <si>
    <t>ORD1291</t>
  </si>
  <si>
    <t>CUST335</t>
  </si>
  <si>
    <t>PROD6350</t>
  </si>
  <si>
    <t>ORD1292</t>
  </si>
  <si>
    <t>CUST125</t>
  </si>
  <si>
    <t>PROD5904</t>
  </si>
  <si>
    <t>ORD1293</t>
  </si>
  <si>
    <t>CUST525</t>
  </si>
  <si>
    <t>PROD6471</t>
  </si>
  <si>
    <t>ORD1294</t>
  </si>
  <si>
    <t>CUST522</t>
  </si>
  <si>
    <t>PROD1731</t>
  </si>
  <si>
    <t>ORD1295</t>
  </si>
  <si>
    <t>CUST737</t>
  </si>
  <si>
    <t>PROD9111</t>
  </si>
  <si>
    <t>ORD1296</t>
  </si>
  <si>
    <t>CUST117</t>
  </si>
  <si>
    <t>PROD3941</t>
  </si>
  <si>
    <t>ORD1297</t>
  </si>
  <si>
    <t>CUST784</t>
  </si>
  <si>
    <t>PROD9718</t>
  </si>
  <si>
    <t>ORD1298</t>
  </si>
  <si>
    <t>CUST137</t>
  </si>
  <si>
    <t>PROD4283</t>
  </si>
  <si>
    <t>ORD1299</t>
  </si>
  <si>
    <t>CUST131</t>
  </si>
  <si>
    <t>PROD2506</t>
  </si>
  <si>
    <t>ORD1300</t>
  </si>
  <si>
    <t>PROD7891</t>
  </si>
  <si>
    <t>ORD1301</t>
  </si>
  <si>
    <t>PROD3457</t>
  </si>
  <si>
    <t>ORD1302</t>
  </si>
  <si>
    <t>CUST207</t>
  </si>
  <si>
    <t>PROD3496</t>
  </si>
  <si>
    <t>ORD1303</t>
  </si>
  <si>
    <t>CUST345</t>
  </si>
  <si>
    <t>PROD9054</t>
  </si>
  <si>
    <t>ORD1304</t>
  </si>
  <si>
    <t>PROD7440</t>
  </si>
  <si>
    <t>ORD1305</t>
  </si>
  <si>
    <t>CUST982</t>
  </si>
  <si>
    <t>PROD5084</t>
  </si>
  <si>
    <t>ORD1306</t>
  </si>
  <si>
    <t>CUST342</t>
  </si>
  <si>
    <t>PROD9439</t>
  </si>
  <si>
    <t>ORD1307</t>
  </si>
  <si>
    <t>PROD7654</t>
  </si>
  <si>
    <t>ORD1308</t>
  </si>
  <si>
    <t>CUST461</t>
  </si>
  <si>
    <t>PROD5397</t>
  </si>
  <si>
    <t>ORD1309</t>
  </si>
  <si>
    <t>CUST377</t>
  </si>
  <si>
    <t>PROD1439</t>
  </si>
  <si>
    <t>ORD1310</t>
  </si>
  <si>
    <t>CUST341</t>
  </si>
  <si>
    <t>PROD7639</t>
  </si>
  <si>
    <t>ORD1311</t>
  </si>
  <si>
    <t>CUST247</t>
  </si>
  <si>
    <t>PROD8882</t>
  </si>
  <si>
    <t>ORD1312</t>
  </si>
  <si>
    <t>CUST613</t>
  </si>
  <si>
    <t>PROD6816</t>
  </si>
  <si>
    <t>ORD1313</t>
  </si>
  <si>
    <t>CUST202</t>
  </si>
  <si>
    <t>PROD3127</t>
  </si>
  <si>
    <t>ORD1314</t>
  </si>
  <si>
    <t>CUST989</t>
  </si>
  <si>
    <t>PROD9449</t>
  </si>
  <si>
    <t>ORD1315</t>
  </si>
  <si>
    <t>PROD6585</t>
  </si>
  <si>
    <t>ORD1316</t>
  </si>
  <si>
    <t>CUST139</t>
  </si>
  <si>
    <t>PROD6570</t>
  </si>
  <si>
    <t>ORD1317</t>
  </si>
  <si>
    <t>CUST951</t>
  </si>
  <si>
    <t>PROD1725</t>
  </si>
  <si>
    <t>ORD1318</t>
  </si>
  <si>
    <t>PROD6226</t>
  </si>
  <si>
    <t>ORD1319</t>
  </si>
  <si>
    <t>CUST593</t>
  </si>
  <si>
    <t>PROD2700</t>
  </si>
  <si>
    <t>ORD1320</t>
  </si>
  <si>
    <t>PROD9401</t>
  </si>
  <si>
    <t>ORD1321</t>
  </si>
  <si>
    <t>PROD3780</t>
  </si>
  <si>
    <t>ORD1322</t>
  </si>
  <si>
    <t>CUST751</t>
  </si>
  <si>
    <t>PROD9156</t>
  </si>
  <si>
    <t>ORD1323</t>
  </si>
  <si>
    <t>PROD7134</t>
  </si>
  <si>
    <t>ORD1324</t>
  </si>
  <si>
    <t>CUST914</t>
  </si>
  <si>
    <t>PROD1980</t>
  </si>
  <si>
    <t>ORD1325</t>
  </si>
  <si>
    <t>CUST605</t>
  </si>
  <si>
    <t>PROD1857</t>
  </si>
  <si>
    <t>ORD1326</t>
  </si>
  <si>
    <t>CUST100</t>
  </si>
  <si>
    <t>PROD5513</t>
  </si>
  <si>
    <t>ORD1327</t>
  </si>
  <si>
    <t>CUST227</t>
  </si>
  <si>
    <t>PROD9903</t>
  </si>
  <si>
    <t>ORD1328</t>
  </si>
  <si>
    <t>CUST259</t>
  </si>
  <si>
    <t>PROD5795</t>
  </si>
  <si>
    <t>ORD1329</t>
  </si>
  <si>
    <t>PROD6391</t>
  </si>
  <si>
    <t>ORD1330</t>
  </si>
  <si>
    <t>CUST655</t>
  </si>
  <si>
    <t>PROD5721</t>
  </si>
  <si>
    <t>ORD1331</t>
  </si>
  <si>
    <t>PROD4126</t>
  </si>
  <si>
    <t>ORD1332</t>
  </si>
  <si>
    <t>CUST714</t>
  </si>
  <si>
    <t>PROD7816</t>
  </si>
  <si>
    <t>ORD1333</t>
  </si>
  <si>
    <t>CUST987</t>
  </si>
  <si>
    <t>PROD7670</t>
  </si>
  <si>
    <t>ORD1334</t>
  </si>
  <si>
    <t>PROD1097</t>
  </si>
  <si>
    <t>ORD1335</t>
  </si>
  <si>
    <t>PROD6853</t>
  </si>
  <si>
    <t>ORD1336</t>
  </si>
  <si>
    <t>CUST867</t>
  </si>
  <si>
    <t>PROD4348</t>
  </si>
  <si>
    <t>ORD1337</t>
  </si>
  <si>
    <t>PROD4469</t>
  </si>
  <si>
    <t>ORD1338</t>
  </si>
  <si>
    <t>CUST265</t>
  </si>
  <si>
    <t>PROD4190</t>
  </si>
  <si>
    <t>ORD1339</t>
  </si>
  <si>
    <t>PROD9930</t>
  </si>
  <si>
    <t>ORD1340</t>
  </si>
  <si>
    <t>CUST688</t>
  </si>
  <si>
    <t>PROD4934</t>
  </si>
  <si>
    <t>ORD1341</t>
  </si>
  <si>
    <t>CUST974</t>
  </si>
  <si>
    <t>PROD6410</t>
  </si>
  <si>
    <t>ORD1342</t>
  </si>
  <si>
    <t>CUST475</t>
  </si>
  <si>
    <t>PROD5317</t>
  </si>
  <si>
    <t>ORD1343</t>
  </si>
  <si>
    <t>CUST811</t>
  </si>
  <si>
    <t>PROD5726</t>
  </si>
  <si>
    <t>ORD1344</t>
  </si>
  <si>
    <t>PROD9095</t>
  </si>
  <si>
    <t>ORD1345</t>
  </si>
  <si>
    <t>CUST845</t>
  </si>
  <si>
    <t>PROD3534</t>
  </si>
  <si>
    <t>ORD1346</t>
  </si>
  <si>
    <t>CUST280</t>
  </si>
  <si>
    <t>PROD3756</t>
  </si>
  <si>
    <t>ORD1347</t>
  </si>
  <si>
    <t>PROD3974</t>
  </si>
  <si>
    <t>ORD1348</t>
  </si>
  <si>
    <t>CUST705</t>
  </si>
  <si>
    <t>PROD7587</t>
  </si>
  <si>
    <t>ORD1349</t>
  </si>
  <si>
    <t>CUST915</t>
  </si>
  <si>
    <t>PROD2191</t>
  </si>
  <si>
    <t>ORD1350</t>
  </si>
  <si>
    <t>PROD1826</t>
  </si>
  <si>
    <t>ORD1351</t>
  </si>
  <si>
    <t>CUST519</t>
  </si>
  <si>
    <t>PROD7624</t>
  </si>
  <si>
    <t>ORD1352</t>
  </si>
  <si>
    <t>CUST580</t>
  </si>
  <si>
    <t>PROD8790</t>
  </si>
  <si>
    <t>ORD1353</t>
  </si>
  <si>
    <t>CUST326</t>
  </si>
  <si>
    <t>PROD9146</t>
  </si>
  <si>
    <t>ORD1354</t>
  </si>
  <si>
    <t>CUST701</t>
  </si>
  <si>
    <t>PROD6287</t>
  </si>
  <si>
    <t>ORD1355</t>
  </si>
  <si>
    <t>CUST910</t>
  </si>
  <si>
    <t>PROD9513</t>
  </si>
  <si>
    <t>ORD1356</t>
  </si>
  <si>
    <t>CUST881</t>
  </si>
  <si>
    <t>PROD8370</t>
  </si>
  <si>
    <t>ORD1357</t>
  </si>
  <si>
    <t>CUST228</t>
  </si>
  <si>
    <t>PROD3897</t>
  </si>
  <si>
    <t>ORD1358</t>
  </si>
  <si>
    <t>ORD1359</t>
  </si>
  <si>
    <t>CUST647</t>
  </si>
  <si>
    <t>PROD9616</t>
  </si>
  <si>
    <t>ORD1360</t>
  </si>
  <si>
    <t>PROD6022</t>
  </si>
  <si>
    <t>ORD1361</t>
  </si>
  <si>
    <t>CUST878</t>
  </si>
  <si>
    <t>PROD1124</t>
  </si>
  <si>
    <t>ORD1362</t>
  </si>
  <si>
    <t>PROD2306</t>
  </si>
  <si>
    <t>ORD1363</t>
  </si>
  <si>
    <t>CUST947</t>
  </si>
  <si>
    <t>PROD6620</t>
  </si>
  <si>
    <t>ORD1364</t>
  </si>
  <si>
    <t>CUST829</t>
  </si>
  <si>
    <t>PROD4810</t>
  </si>
  <si>
    <t>ORD1365</t>
  </si>
  <si>
    <t>CUST658</t>
  </si>
  <si>
    <t>ORD1366</t>
  </si>
  <si>
    <t>CUST102</t>
  </si>
  <si>
    <t>PROD9835</t>
  </si>
  <si>
    <t>ORD1367</t>
  </si>
  <si>
    <t>CUST433</t>
  </si>
  <si>
    <t>PROD2535</t>
  </si>
  <si>
    <t>ORD1368</t>
  </si>
  <si>
    <t>CUST759</t>
  </si>
  <si>
    <t>PROD8027</t>
  </si>
  <si>
    <t>ORD1369</t>
  </si>
  <si>
    <t>PROD9229</t>
  </si>
  <si>
    <t>ORD1370</t>
  </si>
  <si>
    <t>PROD7209</t>
  </si>
  <si>
    <t>ORD1371</t>
  </si>
  <si>
    <t>CUST852</t>
  </si>
  <si>
    <t>PROD8056</t>
  </si>
  <si>
    <t>ORD1372</t>
  </si>
  <si>
    <t>CUST212</t>
  </si>
  <si>
    <t>PROD7426</t>
  </si>
  <si>
    <t>ORD1373</t>
  </si>
  <si>
    <t>PROD7072</t>
  </si>
  <si>
    <t>ORD1374</t>
  </si>
  <si>
    <t>CUST638</t>
  </si>
  <si>
    <t>PROD3288</t>
  </si>
  <si>
    <t>ORD1375</t>
  </si>
  <si>
    <t>PROD9605</t>
  </si>
  <si>
    <t>ORD1376</t>
  </si>
  <si>
    <t>CUST367</t>
  </si>
  <si>
    <t>ORD1377</t>
  </si>
  <si>
    <t>CUST826</t>
  </si>
  <si>
    <t>PROD4836</t>
  </si>
  <si>
    <t>ORD1378</t>
  </si>
  <si>
    <t>PROD1314</t>
  </si>
  <si>
    <t>ORD1379</t>
  </si>
  <si>
    <t>PROD1776</t>
  </si>
  <si>
    <t>ORD1380</t>
  </si>
  <si>
    <t>CUST155</t>
  </si>
  <si>
    <t>PROD8856</t>
  </si>
  <si>
    <t>ORD1381</t>
  </si>
  <si>
    <t>CUST354</t>
  </si>
  <si>
    <t>PROD3222</t>
  </si>
  <si>
    <t>ORD1382</t>
  </si>
  <si>
    <t>PROD6437</t>
  </si>
  <si>
    <t>ORD1383</t>
  </si>
  <si>
    <t>CUST954</t>
  </si>
  <si>
    <t>PROD8121</t>
  </si>
  <si>
    <t>ORD1384</t>
  </si>
  <si>
    <t>PROD5541</t>
  </si>
  <si>
    <t>ORD1385</t>
  </si>
  <si>
    <t>PROD3333</t>
  </si>
  <si>
    <t>ORD1386</t>
  </si>
  <si>
    <t>PROD2876</t>
  </si>
  <si>
    <t>ORD1387</t>
  </si>
  <si>
    <t>CUST687</t>
  </si>
  <si>
    <t>PROD9085</t>
  </si>
  <si>
    <t>ORD1388</t>
  </si>
  <si>
    <t>CUST147</t>
  </si>
  <si>
    <t>PROD2006</t>
  </si>
  <si>
    <t>ORD1389</t>
  </si>
  <si>
    <t>PROD8699</t>
  </si>
  <si>
    <t>ORD1390</t>
  </si>
  <si>
    <t>CUST533</t>
  </si>
  <si>
    <t>PROD7255</t>
  </si>
  <si>
    <t>ORD1391</t>
  </si>
  <si>
    <t>PROD6697</t>
  </si>
  <si>
    <t>ORD1392</t>
  </si>
  <si>
    <t>PROD8254</t>
  </si>
  <si>
    <t>ORD1393</t>
  </si>
  <si>
    <t>CUST804</t>
  </si>
  <si>
    <t>PROD1075</t>
  </si>
  <si>
    <t>ORD1394</t>
  </si>
  <si>
    <t>CUST973</t>
  </si>
  <si>
    <t>PROD9350</t>
  </si>
  <si>
    <t>ORD1395</t>
  </si>
  <si>
    <t>PROD8248</t>
  </si>
  <si>
    <t>ORD1396</t>
  </si>
  <si>
    <t>CUST715</t>
  </si>
  <si>
    <t>PROD7690</t>
  </si>
  <si>
    <t>ORD1397</t>
  </si>
  <si>
    <t>CUST548</t>
  </si>
  <si>
    <t>PROD9265</t>
  </si>
  <si>
    <t>ORD1398</t>
  </si>
  <si>
    <t>PROD4095</t>
  </si>
  <si>
    <t>ORD1399</t>
  </si>
  <si>
    <t>PROD2755</t>
  </si>
  <si>
    <t>ORD1400</t>
  </si>
  <si>
    <t>CUST876</t>
  </si>
  <si>
    <t>PROD1982</t>
  </si>
  <si>
    <t>ORD1401</t>
  </si>
  <si>
    <t>CUST469</t>
  </si>
  <si>
    <t>PROD6123</t>
  </si>
  <si>
    <t>ORD1402</t>
  </si>
  <si>
    <t>CUST717</t>
  </si>
  <si>
    <t>PROD6814</t>
  </si>
  <si>
    <t>ORD1403</t>
  </si>
  <si>
    <t>ORD1404</t>
  </si>
  <si>
    <t>CUST771</t>
  </si>
  <si>
    <t>PROD6618</t>
  </si>
  <si>
    <t>ORD1405</t>
  </si>
  <si>
    <t>PROD9792</t>
  </si>
  <si>
    <t>ORD1406</t>
  </si>
  <si>
    <t>CUST230</t>
  </si>
  <si>
    <t>PROD7743</t>
  </si>
  <si>
    <t>ORD1407</t>
  </si>
  <si>
    <t>CUST290</t>
  </si>
  <si>
    <t>PROD6926</t>
  </si>
  <si>
    <t>ORD1408</t>
  </si>
  <si>
    <t>CUST630</t>
  </si>
  <si>
    <t>PROD4665</t>
  </si>
  <si>
    <t>ORD1409</t>
  </si>
  <si>
    <t>PROD6118</t>
  </si>
  <si>
    <t>ORD1410</t>
  </si>
  <si>
    <t>CUST531</t>
  </si>
  <si>
    <t>PROD5342</t>
  </si>
  <si>
    <t>ORD1411</t>
  </si>
  <si>
    <t>CUST403</t>
  </si>
  <si>
    <t>PROD4343</t>
  </si>
  <si>
    <t>ORD1412</t>
  </si>
  <si>
    <t>PROD3419</t>
  </si>
  <si>
    <t>ORD1413</t>
  </si>
  <si>
    <t>PROD6907</t>
  </si>
  <si>
    <t>ORD1414</t>
  </si>
  <si>
    <t>CUST497</t>
  </si>
  <si>
    <t>PROD2371</t>
  </si>
  <si>
    <t>ORD1415</t>
  </si>
  <si>
    <t>CUST662</t>
  </si>
  <si>
    <t>PROD6558</t>
  </si>
  <si>
    <t>ORD1416</t>
  </si>
  <si>
    <t>CUST745</t>
  </si>
  <si>
    <t>PROD4234</t>
  </si>
  <si>
    <t>ORD1417</t>
  </si>
  <si>
    <t>CUST404</t>
  </si>
  <si>
    <t>PROD7327</t>
  </si>
  <si>
    <t>ORD1418</t>
  </si>
  <si>
    <t>CUST500</t>
  </si>
  <si>
    <t>PROD2964</t>
  </si>
  <si>
    <t>ORD1419</t>
  </si>
  <si>
    <t>CUST683</t>
  </si>
  <si>
    <t>PROD5063</t>
  </si>
  <si>
    <t>ORD1420</t>
  </si>
  <si>
    <t>PROD5921</t>
  </si>
  <si>
    <t>ORD1421</t>
  </si>
  <si>
    <t>CUST937</t>
  </si>
  <si>
    <t>PROD8068</t>
  </si>
  <si>
    <t>ORD1422</t>
  </si>
  <si>
    <t>PROD2671</t>
  </si>
  <si>
    <t>ORD1423</t>
  </si>
  <si>
    <t>PROD5886</t>
  </si>
  <si>
    <t>ORD1424</t>
  </si>
  <si>
    <t>ORD1425</t>
  </si>
  <si>
    <t>CUST467</t>
  </si>
  <si>
    <t>PROD2554</t>
  </si>
  <si>
    <t>ORD1426</t>
  </si>
  <si>
    <t>CUST682</t>
  </si>
  <si>
    <t>PROD7046</t>
  </si>
  <si>
    <t>ORD1427</t>
  </si>
  <si>
    <t>CUST454</t>
  </si>
  <si>
    <t>PROD5985</t>
  </si>
  <si>
    <t>ORD1428</t>
  </si>
  <si>
    <t>PROD1852</t>
  </si>
  <si>
    <t>ORD1429</t>
  </si>
  <si>
    <t>CUST128</t>
  </si>
  <si>
    <t>PROD9719</t>
  </si>
  <si>
    <t>ORD1430</t>
  </si>
  <si>
    <t>PROD4265</t>
  </si>
  <si>
    <t>ORD1431</t>
  </si>
  <si>
    <t>CUST946</t>
  </si>
  <si>
    <t>ORD1432</t>
  </si>
  <si>
    <t>PROD9222</t>
  </si>
  <si>
    <t>ORD1433</t>
  </si>
  <si>
    <t>ORD1434</t>
  </si>
  <si>
    <t>PROD6430</t>
  </si>
  <si>
    <t>ORD1435</t>
  </si>
  <si>
    <t>PROD7613</t>
  </si>
  <si>
    <t>ORD1436</t>
  </si>
  <si>
    <t>PROD2692</t>
  </si>
  <si>
    <t>ORD1437</t>
  </si>
  <si>
    <t>CUST423</t>
  </si>
  <si>
    <t>PROD8146</t>
  </si>
  <si>
    <t>ORD1438</t>
  </si>
  <si>
    <t>CUST260</t>
  </si>
  <si>
    <t>PROD8259</t>
  </si>
  <si>
    <t>ORD1439</t>
  </si>
  <si>
    <t>PROD7835</t>
  </si>
  <si>
    <t>ORD1440</t>
  </si>
  <si>
    <t>CUST573</t>
  </si>
  <si>
    <t>PROD4238</t>
  </si>
  <si>
    <t>ORD1441</t>
  </si>
  <si>
    <t>PROD4854</t>
  </si>
  <si>
    <t>ORD1442</t>
  </si>
  <si>
    <t>PROD8449</t>
  </si>
  <si>
    <t>ORD1443</t>
  </si>
  <si>
    <t>CUST272</t>
  </si>
  <si>
    <t>PROD8214</t>
  </si>
  <si>
    <t>ORD1444</t>
  </si>
  <si>
    <t>PROD4831</t>
  </si>
  <si>
    <t>ORD1445</t>
  </si>
  <si>
    <t>PROD5594</t>
  </si>
  <si>
    <t>ORD1446</t>
  </si>
  <si>
    <t>CUST664</t>
  </si>
  <si>
    <t>PROD3246</t>
  </si>
  <si>
    <t>ORD1447</t>
  </si>
  <si>
    <t>PROD3342</t>
  </si>
  <si>
    <t>ORD1448</t>
  </si>
  <si>
    <t>PROD6210</t>
  </si>
  <si>
    <t>ORD1449</t>
  </si>
  <si>
    <t>PROD4100</t>
  </si>
  <si>
    <t>ORD1450</t>
  </si>
  <si>
    <t>CUST185</t>
  </si>
  <si>
    <t>PROD4534</t>
  </si>
  <si>
    <t>ORD1451</t>
  </si>
  <si>
    <t>CUST808</t>
  </si>
  <si>
    <t>PROD1884</t>
  </si>
  <si>
    <t>ORD1452</t>
  </si>
  <si>
    <t>CUST997</t>
  </si>
  <si>
    <t>PROD7230</t>
  </si>
  <si>
    <t>ORD1453</t>
  </si>
  <si>
    <t>CUST645</t>
  </si>
  <si>
    <t>PROD5405</t>
  </si>
  <si>
    <t>ORD1454</t>
  </si>
  <si>
    <t>CUST179</t>
  </si>
  <si>
    <t>PROD1569</t>
  </si>
  <si>
    <t>ORD1455</t>
  </si>
  <si>
    <t>CUST333</t>
  </si>
  <si>
    <t>PROD4215</t>
  </si>
  <si>
    <t>ORD1456</t>
  </si>
  <si>
    <t>PROD5449</t>
  </si>
  <si>
    <t>ORD1457</t>
  </si>
  <si>
    <t>PROD5229</t>
  </si>
  <si>
    <t>ORD1458</t>
  </si>
  <si>
    <t>CUST899</t>
  </si>
  <si>
    <t>PROD3315</t>
  </si>
  <si>
    <t>ORD1459</t>
  </si>
  <si>
    <t>CUST329</t>
  </si>
  <si>
    <t>PROD8042</t>
  </si>
  <si>
    <t>ORD1460</t>
  </si>
  <si>
    <t>PROD2522</t>
  </si>
  <si>
    <t>ORD1461</t>
  </si>
  <si>
    <t>CUST690</t>
  </si>
  <si>
    <t>PROD1552</t>
  </si>
  <si>
    <t>ORD1462</t>
  </si>
  <si>
    <t>CUST681</t>
  </si>
  <si>
    <t>PROD9606</t>
  </si>
  <si>
    <t>ORD1463</t>
  </si>
  <si>
    <t>CUST261</t>
  </si>
  <si>
    <t>PROD7021</t>
  </si>
  <si>
    <t>ORD1464</t>
  </si>
  <si>
    <t>PROD8384</t>
  </si>
  <si>
    <t>ORD1465</t>
  </si>
  <si>
    <t>PROD7308</t>
  </si>
  <si>
    <t>ORD1466</t>
  </si>
  <si>
    <t>CUST716</t>
  </si>
  <si>
    <t>PROD7107</t>
  </si>
  <si>
    <t>ORD1467</t>
  </si>
  <si>
    <t>PROD7647</t>
  </si>
  <si>
    <t>ORD1468</t>
  </si>
  <si>
    <t>CUST142</t>
  </si>
  <si>
    <t>PROD3934</t>
  </si>
  <si>
    <t>ORD1469</t>
  </si>
  <si>
    <t>PROD4983</t>
  </si>
  <si>
    <t>ORD1470</t>
  </si>
  <si>
    <t>PROD3099</t>
  </si>
  <si>
    <t>ORD1471</t>
  </si>
  <si>
    <t>CUST944</t>
  </si>
  <si>
    <t>ORD1472</t>
  </si>
  <si>
    <t>CUST268</t>
  </si>
  <si>
    <t>PROD7999</t>
  </si>
  <si>
    <t>ORD1473</t>
  </si>
  <si>
    <t>CUST279</t>
  </si>
  <si>
    <t>PROD1630</t>
  </si>
  <si>
    <t>ORD1474</t>
  </si>
  <si>
    <t>CUST567</t>
  </si>
  <si>
    <t>PROD8667</t>
  </si>
  <si>
    <t>ORD1475</t>
  </si>
  <si>
    <t>CUST598</t>
  </si>
  <si>
    <t>PROD3434</t>
  </si>
  <si>
    <t>ORD1476</t>
  </si>
  <si>
    <t>PROD5154</t>
  </si>
  <si>
    <t>ORD1477</t>
  </si>
  <si>
    <t>PROD7315</t>
  </si>
  <si>
    <t>ORD1478</t>
  </si>
  <si>
    <t>CUST569</t>
  </si>
  <si>
    <t>PROD9284</t>
  </si>
  <si>
    <t>ORD1479</t>
  </si>
  <si>
    <t>CUST349</t>
  </si>
  <si>
    <t>PROD7548</t>
  </si>
  <si>
    <t>ORD1480</t>
  </si>
  <si>
    <t>CUST988</t>
  </si>
  <si>
    <t>PROD6936</t>
  </si>
  <si>
    <t>ORD1481</t>
  </si>
  <si>
    <t>CUST735</t>
  </si>
  <si>
    <t>PROD2802</t>
  </si>
  <si>
    <t>ORD1482</t>
  </si>
  <si>
    <t>PROD2504</t>
  </si>
  <si>
    <t>ORD1483</t>
  </si>
  <si>
    <t>CUST637</t>
  </si>
  <si>
    <t>PROD8474</t>
  </si>
  <si>
    <t>ORD1484</t>
  </si>
  <si>
    <t>CUST557</t>
  </si>
  <si>
    <t>PROD2938</t>
  </si>
  <si>
    <t>ORD1485</t>
  </si>
  <si>
    <t>PROD5975</t>
  </si>
  <si>
    <t>ORD1486</t>
  </si>
  <si>
    <t>CUST511</t>
  </si>
  <si>
    <t>PROD3310</t>
  </si>
  <si>
    <t>ORD1487</t>
  </si>
  <si>
    <t>CUST849</t>
  </si>
  <si>
    <t>PROD9508</t>
  </si>
  <si>
    <t>ORD1488</t>
  </si>
  <si>
    <t>CUST721</t>
  </si>
  <si>
    <t>PROD5480</t>
  </si>
  <si>
    <t>ORD1489</t>
  </si>
  <si>
    <t>CUST538</t>
  </si>
  <si>
    <t>PROD1494</t>
  </si>
  <si>
    <t>ORD1490</t>
  </si>
  <si>
    <t>CUST585</t>
  </si>
  <si>
    <t>PROD2393</t>
  </si>
  <si>
    <t>ORD1491</t>
  </si>
  <si>
    <t>CUST708</t>
  </si>
  <si>
    <t>PROD1007</t>
  </si>
  <si>
    <t>ORD1492</t>
  </si>
  <si>
    <t>PROD2162</t>
  </si>
  <si>
    <t>ORD1493</t>
  </si>
  <si>
    <t>CUST373</t>
  </si>
  <si>
    <t>PROD1431</t>
  </si>
  <si>
    <t>ORD1494</t>
  </si>
  <si>
    <t>CUST159</t>
  </si>
  <si>
    <t>PROD3861</t>
  </si>
  <si>
    <t>ORD1495</t>
  </si>
  <si>
    <t>CUST464</t>
  </si>
  <si>
    <t>PROD9423</t>
  </si>
  <si>
    <t>ORD1496</t>
  </si>
  <si>
    <t>PROD5281</t>
  </si>
  <si>
    <t>ORD1497</t>
  </si>
  <si>
    <t>PROD6086</t>
  </si>
  <si>
    <t>ORD1498</t>
  </si>
  <si>
    <t>PROD3887</t>
  </si>
  <si>
    <t>ORD1499</t>
  </si>
  <si>
    <t>CUST835</t>
  </si>
  <si>
    <t>PROD7871</t>
  </si>
  <si>
    <t xml:space="preserve">  </t>
  </si>
  <si>
    <t>Sum of Total Sales</t>
  </si>
  <si>
    <t>Sum of Discount Amount</t>
  </si>
  <si>
    <t>Sum of Profit Amount</t>
  </si>
  <si>
    <t>Sum of Net Sales</t>
  </si>
  <si>
    <t>Row Labels</t>
  </si>
  <si>
    <t>Grand Total</t>
  </si>
  <si>
    <t>Average of Profit Margin %</t>
  </si>
  <si>
    <t>Sum of Net Sales2</t>
  </si>
  <si>
    <t>Sum of Quantity Sold</t>
  </si>
  <si>
    <t>Jan</t>
  </si>
  <si>
    <t>Feb</t>
  </si>
  <si>
    <t>Mar</t>
  </si>
  <si>
    <t>Apr</t>
  </si>
  <si>
    <t>May</t>
  </si>
  <si>
    <t>Jun</t>
  </si>
  <si>
    <t>Jul</t>
  </si>
  <si>
    <t>Aug</t>
  </si>
  <si>
    <t>Sep</t>
  </si>
  <si>
    <t>Oct</t>
  </si>
  <si>
    <t>Nov</t>
  </si>
  <si>
    <t>Dec</t>
  </si>
  <si>
    <t xml:space="preserve">                  </t>
  </si>
  <si>
    <t>West region has highest sales</t>
  </si>
  <si>
    <t>Online  channel contributes 34%</t>
  </si>
  <si>
    <t>December shows peak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</si>
</sst>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00"/>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sz val="18"/>
      <color theme="1"/>
      <name val="Calibri"/>
      <family val="2"/>
      <scheme val="minor"/>
    </font>
  </fonts>
  <fills count="6">
    <fill>
      <patternFill patternType="none"/>
    </fill>
    <fill>
      <patternFill patternType="gray125"/>
    </fill>
    <fill>
      <patternFill patternType="solid">
        <fgColor rgb="FFC00000"/>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1" fillId="2" borderId="1" xfId="0" applyFont="1" applyFill="1" applyBorder="1"/>
    <xf numFmtId="0" fontId="2" fillId="3" borderId="2" xfId="0" applyFont="1" applyFill="1" applyBorder="1"/>
    <xf numFmtId="0" fontId="0" fillId="0" borderId="0" xfId="0" pivotButton="1"/>
    <xf numFmtId="0" fontId="0" fillId="0" borderId="0" xfId="0" applyAlignment="1">
      <alignment horizontal="left"/>
    </xf>
    <xf numFmtId="0" fontId="2" fillId="3" borderId="3" xfId="0" applyFont="1" applyFill="1" applyBorder="1" applyAlignment="1">
      <alignment horizontal="left"/>
    </xf>
    <xf numFmtId="9" fontId="0" fillId="0" borderId="0" xfId="0" applyNumberFormat="1"/>
    <xf numFmtId="10" fontId="0" fillId="0" borderId="0" xfId="0" applyNumberFormat="1"/>
    <xf numFmtId="14" fontId="0" fillId="0" borderId="0" xfId="0" applyNumberFormat="1"/>
    <xf numFmtId="9" fontId="0" fillId="0" borderId="0" xfId="1" applyFont="1"/>
    <xf numFmtId="0" fontId="2" fillId="0" borderId="2" xfId="0" applyFont="1" applyBorder="1" applyAlignment="1">
      <alignment horizontal="left"/>
    </xf>
    <xf numFmtId="0" fontId="2" fillId="0" borderId="0" xfId="0" applyFont="1"/>
    <xf numFmtId="0" fontId="0" fillId="4" borderId="0" xfId="0" applyFill="1"/>
    <xf numFmtId="0" fontId="0" fillId="0" borderId="0" xfId="0" applyNumberFormat="1"/>
    <xf numFmtId="165" fontId="0" fillId="0" borderId="0" xfId="0" applyNumberFormat="1"/>
    <xf numFmtId="2" fontId="0" fillId="0" borderId="0" xfId="0" applyNumberFormat="1"/>
    <xf numFmtId="0" fontId="5" fillId="5" borderId="0" xfId="0" applyFont="1" applyFill="1" applyAlignment="1">
      <alignment vertical="center"/>
    </xf>
    <xf numFmtId="0" fontId="4" fillId="5" borderId="0" xfId="0" applyFont="1" applyFill="1" applyAlignment="1">
      <alignment vertical="center"/>
    </xf>
    <xf numFmtId="0" fontId="6" fillId="5" borderId="0" xfId="0" applyFont="1" applyFill="1" applyAlignment="1">
      <alignment vertical="center"/>
    </xf>
    <xf numFmtId="0" fontId="0" fillId="5" borderId="0" xfId="0" applyFill="1"/>
  </cellXfs>
  <cellStyles count="2">
    <cellStyle name="Normal" xfId="0" builtinId="0"/>
    <cellStyle name="Percent" xfId="1" builtinId="5"/>
  </cellStyles>
  <dxfs count="97">
    <dxf>
      <numFmt numFmtId="2" formatCode="0.00"/>
    </dxf>
    <dxf>
      <numFmt numFmtId="165"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3" tint="-0.499984740745262"/>
        </patternFill>
      </fill>
    </dxf>
  </dxfs>
  <tableStyles count="6" defaultTableStyle="TableStyleMedium9" defaultPivotStyle="PivotStyleLight16">
    <tableStyle name="Slicer Style 1" pivot="0" table="0" count="1" xr9:uid="{B01FFF4F-6C33-4BE4-8839-BBAF17475789}"/>
    <tableStyle name="Slicer Style 2" pivot="0" table="0" count="1" xr9:uid="{85F2A69A-2F4A-423F-AC4D-12076BA8EC52}"/>
    <tableStyle name="Slicer Style 3" pivot="0" table="0" count="1" xr9:uid="{36AD2E3A-8A77-402A-BD30-1B9669283A73}"/>
    <tableStyle name="Slicer Style 4" pivot="0" table="0" count="2" xr9:uid="{BAA3D318-0EC5-41FE-A0A0-0F3E5EB9409D}">
      <tableStyleElement type="headerRow" dxfId="96"/>
    </tableStyle>
    <tableStyle name="Slicer Style 5" pivot="0" table="0" count="1" xr9:uid="{C7C4E553-B0C6-4BF9-B139-60B05A38A10A}"/>
    <tableStyle name="Slicer Style 6" pivot="0" table="0" count="2" xr9:uid="{F381655B-EDC3-46B4-9AE5-97B910823FBC}"/>
  </tableStyles>
  <extLst>
    <ext xmlns:x14="http://schemas.microsoft.com/office/spreadsheetml/2009/9/main" uri="{46F421CA-312F-682f-3DD2-61675219B42D}">
      <x14:dxfs count="7">
        <dxf>
          <fill>
            <patternFill>
              <bgColor rgb="FF00B050"/>
            </patternFill>
          </fill>
        </dxf>
        <dxf>
          <fill>
            <patternFill>
              <bgColor rgb="FFFFFF00"/>
            </patternFill>
          </fill>
        </dxf>
        <dxf>
          <fill>
            <patternFill>
              <bgColor theme="0"/>
            </patternFill>
          </fill>
        </dxf>
        <dxf>
          <fill>
            <patternFill>
              <bgColor theme="0"/>
            </patternFill>
          </fill>
        </dxf>
        <dxf>
          <fill>
            <patternFill>
              <bgColor theme="0" tint="-0.499984740745262"/>
            </patternFill>
          </fill>
        </dxf>
        <dxf>
          <font>
            <name val="Calibri"/>
            <family val="2"/>
            <scheme val="minor"/>
          </font>
          <fill>
            <patternFill>
              <bgColor theme="5"/>
            </patternFill>
          </fill>
        </dxf>
        <dxf>
          <font>
            <color rgb="FFFFFF00"/>
          </font>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6"/>
          </x14:slicerStyleElements>
        </x14:slicerStyle>
        <x14:slicerStyle name="Slicer Style 2">
          <x14:slicerStyleElements>
            <x14:slicerStyleElement type="selectedItemWithData" dxfId="5"/>
          </x14:slicerStyleElements>
        </x14:slicerStyle>
        <x14:slicerStyle name="Slicer Style 3">
          <x14:slicerStyleElements>
            <x14:slicerStyleElement type="selectedItemWithData" dxfId="4"/>
          </x14:slicerStyleElements>
        </x14:slicerStyle>
        <x14:slicerStyle name="Slicer Style 4">
          <x14:slicerStyleElements>
            <x14:slicerStyleElement type="unselectedItemWithData" dxfId="3"/>
          </x14:slicerStyleElements>
        </x14:slicerStyle>
        <x14:slicerStyle name="Slicer Style 5">
          <x14:slicerStyleElements>
            <x14:slicerStyleElement type="unselectedItemWithData" dxfId="2"/>
          </x14:slicerStyleElements>
        </x14:slicerStyle>
        <x14:slicerStyle name="Slicer Style 6">
          <x14:slicerStyleElements>
            <x14:slicerStyleElement type="unselectedItemWithNo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'Pivot '!$F$2</c:f>
          <c:strCache>
            <c:ptCount val="1"/>
            <c:pt idx="0">
              <c:v>32332097.25</c:v>
            </c:pt>
          </c:strCache>
        </c:strRef>
      </c:tx>
      <c:overlay val="0"/>
      <c:spPr>
        <a:solidFill>
          <a:schemeClr val="bg2">
            <a:lumMod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'Pivot '!$F$11</c:f>
              <c:strCache>
                <c:ptCount val="1"/>
                <c:pt idx="0">
                  <c:v>Sum of Net Sales</c:v>
                </c:pt>
              </c:strCache>
            </c:strRef>
          </c:tx>
          <c:spPr>
            <a:solidFill>
              <a:schemeClr val="dk1">
                <a:tint val="88500"/>
              </a:schemeClr>
            </a:solidFill>
            <a:ln>
              <a:noFill/>
            </a:ln>
            <a:effectLst/>
          </c:spPr>
          <c:invertIfNegative val="0"/>
          <c:cat>
            <c:strRef>
              <c:f>'Pivot '!$E$12:$E$16</c:f>
              <c:strCache>
                <c:ptCount val="5"/>
                <c:pt idx="0">
                  <c:v>East</c:v>
                </c:pt>
                <c:pt idx="1">
                  <c:v>North</c:v>
                </c:pt>
                <c:pt idx="2">
                  <c:v>South</c:v>
                </c:pt>
                <c:pt idx="3">
                  <c:v>West</c:v>
                </c:pt>
                <c:pt idx="4">
                  <c:v>Grand Total</c:v>
                </c:pt>
              </c:strCache>
            </c:strRef>
          </c:cat>
          <c:val>
            <c:numRef>
              <c:f>'Pivot '!$F$12:$F$16</c:f>
              <c:numCache>
                <c:formatCode>General</c:formatCode>
                <c:ptCount val="5"/>
                <c:pt idx="0">
                  <c:v>7398956.2500000009</c:v>
                </c:pt>
                <c:pt idx="1">
                  <c:v>7107088.5500000017</c:v>
                </c:pt>
                <c:pt idx="2">
                  <c:v>8121662.1999999993</c:v>
                </c:pt>
                <c:pt idx="3">
                  <c:v>9704390.2500000019</c:v>
                </c:pt>
                <c:pt idx="4">
                  <c:v>32332097.25</c:v>
                </c:pt>
              </c:numCache>
            </c:numRef>
          </c:val>
          <c:extLst>
            <c:ext xmlns:c16="http://schemas.microsoft.com/office/drawing/2014/chart" uri="{C3380CC4-5D6E-409C-BE32-E72D297353CC}">
              <c16:uniqueId val="{00000000-4B07-46A2-9941-A1EC17E8B727}"/>
            </c:ext>
          </c:extLst>
        </c:ser>
        <c:dLbls>
          <c:showLegendKey val="0"/>
          <c:showVal val="0"/>
          <c:showCatName val="0"/>
          <c:showSerName val="0"/>
          <c:showPercent val="0"/>
          <c:showBubbleSize val="0"/>
        </c:dLbls>
        <c:gapWidth val="219"/>
        <c:axId val="1055678191"/>
        <c:axId val="1055678671"/>
      </c:barChart>
      <c:lineChart>
        <c:grouping val="standard"/>
        <c:varyColors val="0"/>
        <c:ser>
          <c:idx val="1"/>
          <c:order val="1"/>
          <c:tx>
            <c:strRef>
              <c:f>'Pivot '!$G$11</c:f>
              <c:strCache>
                <c:ptCount val="1"/>
                <c:pt idx="0">
                  <c:v>Sum of Profit Amount</c:v>
                </c:pt>
              </c:strCache>
            </c:strRef>
          </c:tx>
          <c:spPr>
            <a:ln w="28575" cap="rnd">
              <a:solidFill>
                <a:schemeClr val="dk1">
                  <a:tint val="55000"/>
                </a:schemeClr>
              </a:solidFill>
              <a:round/>
            </a:ln>
            <a:effectLst/>
          </c:spPr>
          <c:marker>
            <c:symbol val="circle"/>
            <c:size val="5"/>
            <c:spPr>
              <a:solidFill>
                <a:schemeClr val="bg2">
                  <a:lumMod val="10000"/>
                </a:schemeClr>
              </a:solidFill>
              <a:ln w="9525">
                <a:solidFill>
                  <a:schemeClr val="dk1">
                    <a:tint val="55000"/>
                  </a:schemeClr>
                </a:solidFill>
              </a:ln>
              <a:effectLst/>
            </c:spPr>
          </c:marker>
          <c:dLbls>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'!$E$12:$E$16</c:f>
              <c:strCache>
                <c:ptCount val="5"/>
                <c:pt idx="0">
                  <c:v>East</c:v>
                </c:pt>
                <c:pt idx="1">
                  <c:v>North</c:v>
                </c:pt>
                <c:pt idx="2">
                  <c:v>South</c:v>
                </c:pt>
                <c:pt idx="3">
                  <c:v>West</c:v>
                </c:pt>
                <c:pt idx="4">
                  <c:v>Grand Total</c:v>
                </c:pt>
              </c:strCache>
            </c:strRef>
          </c:cat>
          <c:val>
            <c:numRef>
              <c:f>'Pivot '!$G$12:$G$16</c:f>
              <c:numCache>
                <c:formatCode>0%</c:formatCode>
                <c:ptCount val="5"/>
                <c:pt idx="0">
                  <c:v>0.22524879616377019</c:v>
                </c:pt>
                <c:pt idx="1">
                  <c:v>0.22075216846368884</c:v>
                </c:pt>
                <c:pt idx="2">
                  <c:v>0.24557706819960984</c:v>
                </c:pt>
                <c:pt idx="3">
                  <c:v>0.30842196717293108</c:v>
                </c:pt>
                <c:pt idx="4">
                  <c:v>1</c:v>
                </c:pt>
              </c:numCache>
            </c:numRef>
          </c:val>
          <c:smooth val="0"/>
          <c:extLst>
            <c:ext xmlns:c16="http://schemas.microsoft.com/office/drawing/2014/chart" uri="{C3380CC4-5D6E-409C-BE32-E72D297353CC}">
              <c16:uniqueId val="{00000001-4B07-46A2-9941-A1EC17E8B727}"/>
            </c:ext>
          </c:extLst>
        </c:ser>
        <c:dLbls>
          <c:showLegendKey val="0"/>
          <c:showVal val="0"/>
          <c:showCatName val="0"/>
          <c:showSerName val="0"/>
          <c:showPercent val="0"/>
          <c:showBubbleSize val="0"/>
        </c:dLbls>
        <c:marker val="1"/>
        <c:smooth val="0"/>
        <c:axId val="1087067055"/>
        <c:axId val="1087065615"/>
      </c:lineChart>
      <c:catAx>
        <c:axId val="10556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78671"/>
        <c:crosses val="autoZero"/>
        <c:auto val="1"/>
        <c:lblAlgn val="ctr"/>
        <c:lblOffset val="100"/>
        <c:noMultiLvlLbl val="0"/>
      </c:catAx>
      <c:valAx>
        <c:axId val="10556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78191"/>
        <c:crosses val="autoZero"/>
        <c:crossBetween val="between"/>
      </c:valAx>
      <c:valAx>
        <c:axId val="1087065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067055"/>
        <c:crosses val="max"/>
        <c:crossBetween val="between"/>
      </c:valAx>
      <c:catAx>
        <c:axId val="1087067055"/>
        <c:scaling>
          <c:orientation val="minMax"/>
        </c:scaling>
        <c:delete val="1"/>
        <c:axPos val="b"/>
        <c:numFmt formatCode="General" sourceLinked="1"/>
        <c:majorTickMark val="out"/>
        <c:minorTickMark val="none"/>
        <c:tickLblPos val="nextTo"/>
        <c:crossAx val="1087065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!Ctiy Sales</c:name>
    <c:fmtId val="3"/>
  </c:pivotSource>
  <c:chart>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'!$J$3</c:f>
              <c:strCache>
                <c:ptCount val="1"/>
                <c:pt idx="0">
                  <c:v>Sum of Net Sales</c:v>
                </c:pt>
              </c:strCache>
            </c:strRef>
          </c:tx>
          <c:spPr>
            <a:solidFill>
              <a:schemeClr val="tx1">
                <a:lumMod val="65000"/>
                <a:lumOff val="35000"/>
              </a:schemeClr>
            </a:solidFill>
            <a:ln>
              <a:noFill/>
            </a:ln>
            <a:effectLst/>
          </c:spPr>
          <c:cat>
            <c:strRef>
              <c:f>'Pivot '!$I$4:$I$12</c:f>
              <c:strCache>
                <c:ptCount val="8"/>
                <c:pt idx="0">
                  <c:v>Ahmedabad</c:v>
                </c:pt>
                <c:pt idx="1">
                  <c:v>Chennai</c:v>
                </c:pt>
                <c:pt idx="2">
                  <c:v>Delhi</c:v>
                </c:pt>
                <c:pt idx="3">
                  <c:v>Jaipur</c:v>
                </c:pt>
                <c:pt idx="4">
                  <c:v>Kolkata</c:v>
                </c:pt>
                <c:pt idx="5">
                  <c:v>Lucknow</c:v>
                </c:pt>
                <c:pt idx="6">
                  <c:v>Mumbai</c:v>
                </c:pt>
                <c:pt idx="7">
                  <c:v>Pune</c:v>
                </c:pt>
              </c:strCache>
            </c:strRef>
          </c:cat>
          <c:val>
            <c:numRef>
              <c:f>'Pivot '!$J$4:$J$12</c:f>
              <c:numCache>
                <c:formatCode>General</c:formatCode>
                <c:ptCount val="8"/>
                <c:pt idx="0">
                  <c:v>3145400.8499999996</c:v>
                </c:pt>
                <c:pt idx="1">
                  <c:v>4550188.6499999994</c:v>
                </c:pt>
                <c:pt idx="2">
                  <c:v>4070481.7</c:v>
                </c:pt>
                <c:pt idx="3">
                  <c:v>4548205.5</c:v>
                </c:pt>
                <c:pt idx="4">
                  <c:v>3519296.6499999994</c:v>
                </c:pt>
                <c:pt idx="5">
                  <c:v>2902886.9</c:v>
                </c:pt>
                <c:pt idx="6">
                  <c:v>4626005.0999999996</c:v>
                </c:pt>
                <c:pt idx="7">
                  <c:v>4969631.9000000004</c:v>
                </c:pt>
              </c:numCache>
            </c:numRef>
          </c:val>
          <c:extLst>
            <c:ext xmlns:c16="http://schemas.microsoft.com/office/drawing/2014/chart" uri="{C3380CC4-5D6E-409C-BE32-E72D297353CC}">
              <c16:uniqueId val="{00000000-6E62-498E-9745-1038E8F9B19C}"/>
            </c:ext>
          </c:extLst>
        </c:ser>
        <c:dLbls>
          <c:showLegendKey val="0"/>
          <c:showVal val="0"/>
          <c:showCatName val="0"/>
          <c:showSerName val="0"/>
          <c:showPercent val="0"/>
          <c:showBubbleSize val="0"/>
        </c:dLbls>
        <c:axId val="598547135"/>
        <c:axId val="598548575"/>
      </c:areaChart>
      <c:lineChart>
        <c:grouping val="standard"/>
        <c:varyColors val="0"/>
        <c:ser>
          <c:idx val="1"/>
          <c:order val="1"/>
          <c:tx>
            <c:strRef>
              <c:f>'Pivot '!$K$3</c:f>
              <c:strCache>
                <c:ptCount val="1"/>
                <c:pt idx="0">
                  <c:v>Sum of Profit 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'!$I$4:$I$12</c:f>
              <c:strCache>
                <c:ptCount val="8"/>
                <c:pt idx="0">
                  <c:v>Ahmedabad</c:v>
                </c:pt>
                <c:pt idx="1">
                  <c:v>Chennai</c:v>
                </c:pt>
                <c:pt idx="2">
                  <c:v>Delhi</c:v>
                </c:pt>
                <c:pt idx="3">
                  <c:v>Jaipur</c:v>
                </c:pt>
                <c:pt idx="4">
                  <c:v>Kolkata</c:v>
                </c:pt>
                <c:pt idx="5">
                  <c:v>Lucknow</c:v>
                </c:pt>
                <c:pt idx="6">
                  <c:v>Mumbai</c:v>
                </c:pt>
                <c:pt idx="7">
                  <c:v>Pune</c:v>
                </c:pt>
              </c:strCache>
            </c:strRef>
          </c:cat>
          <c:val>
            <c:numRef>
              <c:f>'Pivot '!$K$4:$K$12</c:f>
              <c:numCache>
                <c:formatCode>0.00%</c:formatCode>
                <c:ptCount val="8"/>
                <c:pt idx="0">
                  <c:v>9.277748851449312E-2</c:v>
                </c:pt>
                <c:pt idx="1">
                  <c:v>0.12342055657053917</c:v>
                </c:pt>
                <c:pt idx="2">
                  <c:v>0.12996119463924558</c:v>
                </c:pt>
                <c:pt idx="3">
                  <c:v>0.12934485496140344</c:v>
                </c:pt>
                <c:pt idx="4">
                  <c:v>0.10586325936901503</c:v>
                </c:pt>
                <c:pt idx="5">
                  <c:v>0.10701440695965377</c:v>
                </c:pt>
                <c:pt idx="6">
                  <c:v>0.16467250494201699</c:v>
                </c:pt>
                <c:pt idx="7">
                  <c:v>0.14694573404363298</c:v>
                </c:pt>
              </c:numCache>
            </c:numRef>
          </c:val>
          <c:smooth val="0"/>
          <c:extLst>
            <c:ext xmlns:c16="http://schemas.microsoft.com/office/drawing/2014/chart" uri="{C3380CC4-5D6E-409C-BE32-E72D297353CC}">
              <c16:uniqueId val="{00000001-6E62-498E-9745-1038E8F9B19C}"/>
            </c:ext>
          </c:extLst>
        </c:ser>
        <c:dLbls>
          <c:showLegendKey val="0"/>
          <c:showVal val="0"/>
          <c:showCatName val="0"/>
          <c:showSerName val="0"/>
          <c:showPercent val="0"/>
          <c:showBubbleSize val="0"/>
        </c:dLbls>
        <c:marker val="1"/>
        <c:smooth val="0"/>
        <c:axId val="1189341023"/>
        <c:axId val="1189340543"/>
      </c:lineChart>
      <c:catAx>
        <c:axId val="59854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48575"/>
        <c:crosses val="autoZero"/>
        <c:auto val="1"/>
        <c:lblAlgn val="ctr"/>
        <c:lblOffset val="100"/>
        <c:noMultiLvlLbl val="0"/>
      </c:catAx>
      <c:valAx>
        <c:axId val="59854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47135"/>
        <c:crosses val="autoZero"/>
        <c:crossBetween val="between"/>
      </c:valAx>
      <c:valAx>
        <c:axId val="11893405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41023"/>
        <c:crosses val="max"/>
        <c:crossBetween val="between"/>
      </c:valAx>
      <c:catAx>
        <c:axId val="1189341023"/>
        <c:scaling>
          <c:orientation val="minMax"/>
        </c:scaling>
        <c:delete val="1"/>
        <c:axPos val="b"/>
        <c:numFmt formatCode="General" sourceLinked="1"/>
        <c:majorTickMark val="out"/>
        <c:minorTickMark val="none"/>
        <c:tickLblPos val="nextTo"/>
        <c:crossAx val="118934054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!Channel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Online_Offline</a:t>
            </a:r>
          </a:p>
        </c:rich>
      </c:tx>
      <c:layout>
        <c:manualLayout>
          <c:xMode val="edge"/>
          <c:yMode val="edge"/>
          <c:x val="0.65090453693288342"/>
          <c:y val="3.6446477964468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1.365841925214995E-2"/>
          <c:y val="8.6887150666795004E-2"/>
          <c:w val="0.56203794525684292"/>
          <c:h val="0.89618828193120426"/>
        </c:manualLayout>
      </c:layout>
      <c:pieChart>
        <c:varyColors val="1"/>
        <c:ser>
          <c:idx val="0"/>
          <c:order val="0"/>
          <c:tx>
            <c:strRef>
              <c:f>'Pivot '!$N$3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7-4945-B552-D11688BC7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7-4945-B552-D11688BC77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97-4945-B552-D11688BC77E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'!$M$4:$M$7</c:f>
              <c:strCache>
                <c:ptCount val="3"/>
                <c:pt idx="0">
                  <c:v>Distributor</c:v>
                </c:pt>
                <c:pt idx="1">
                  <c:v>Online</c:v>
                </c:pt>
                <c:pt idx="2">
                  <c:v>Retail Store</c:v>
                </c:pt>
              </c:strCache>
            </c:strRef>
          </c:cat>
          <c:val>
            <c:numRef>
              <c:f>'Pivot '!$N$4:$N$7</c:f>
              <c:numCache>
                <c:formatCode>General</c:formatCode>
                <c:ptCount val="3"/>
                <c:pt idx="0">
                  <c:v>9170174.700000003</c:v>
                </c:pt>
                <c:pt idx="1">
                  <c:v>11941341.100000005</c:v>
                </c:pt>
                <c:pt idx="2">
                  <c:v>11220581.450000007</c:v>
                </c:pt>
              </c:numCache>
            </c:numRef>
          </c:val>
          <c:extLst>
            <c:ext xmlns:c16="http://schemas.microsoft.com/office/drawing/2014/chart" uri="{C3380CC4-5D6E-409C-BE32-E72D297353CC}">
              <c16:uniqueId val="{00000000-9F1E-4894-9956-04CF2E418C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!Product Sub-category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pivotFmt>
      <c:pivotFmt>
        <c:idx val="3"/>
        <c:spPr>
          <a:solidFill>
            <a:schemeClr val="tx1">
              <a:lumMod val="85000"/>
              <a:lumOff val="15000"/>
            </a:schemeClr>
          </a:solidFill>
          <a:ln>
            <a:noFill/>
          </a:ln>
          <a:effectLst/>
        </c:spPr>
      </c:pivotFmt>
      <c:pivotFmt>
        <c:idx val="4"/>
        <c:spPr>
          <a:solidFill>
            <a:schemeClr val="tx1">
              <a:lumMod val="85000"/>
              <a:lumOff val="15000"/>
            </a:schemeClr>
          </a:solidFill>
          <a:ln>
            <a:noFill/>
          </a:ln>
          <a:effectLst/>
        </c:spPr>
      </c:pivotFmt>
      <c:pivotFmt>
        <c:idx val="5"/>
        <c:spPr>
          <a:solidFill>
            <a:schemeClr val="tx1">
              <a:lumMod val="85000"/>
              <a:lumOff val="15000"/>
            </a:schemeClr>
          </a:solidFill>
          <a:ln>
            <a:noFill/>
          </a:ln>
          <a:effectLst/>
        </c:spPr>
      </c:pivotFmt>
      <c:pivotFmt>
        <c:idx val="6"/>
        <c:spPr>
          <a:solidFill>
            <a:schemeClr val="tx1">
              <a:lumMod val="85000"/>
              <a:lumOff val="15000"/>
            </a:schemeClr>
          </a:solidFill>
          <a:ln>
            <a:noFill/>
          </a:ln>
          <a:effectLst/>
        </c:spPr>
      </c:pivotFmt>
      <c:pivotFmt>
        <c:idx val="7"/>
        <c:spPr>
          <a:solidFill>
            <a:schemeClr val="tx1">
              <a:lumMod val="85000"/>
              <a:lumOff val="15000"/>
            </a:schemeClr>
          </a:solidFill>
          <a:ln>
            <a:noFill/>
          </a:ln>
          <a:effectLst/>
        </c:spPr>
      </c:pivotFmt>
      <c:pivotFmt>
        <c:idx val="8"/>
        <c:spPr>
          <a:solidFill>
            <a:schemeClr val="tx1">
              <a:lumMod val="50000"/>
              <a:lumOff val="50000"/>
            </a:schemeClr>
          </a:solidFill>
          <a:ln>
            <a:noFill/>
          </a:ln>
          <a:effectLst/>
        </c:spPr>
        <c:dLbl>
          <c:idx val="0"/>
          <c:layout>
            <c:manualLayout>
              <c:x val="-5.5556267409125832E-3"/>
              <c:y val="-0.3701267578135392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dLbl>
          <c:idx val="0"/>
          <c:layout>
            <c:manualLayout>
              <c:x val="2.7778133704562673E-3"/>
              <c:y val="-0.36777120478658204"/>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dLbl>
          <c:idx val="0"/>
          <c:layout>
            <c:manualLayout>
              <c:x val="0"/>
              <c:y val="-0.3949806050599161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dLbl>
          <c:idx val="0"/>
          <c:layout>
            <c:manualLayout>
              <c:x val="-2.7778133704563636E-3"/>
              <c:y val="-0.36720267947738239"/>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a:noFill/>
          </a:ln>
          <a:effectLst/>
        </c:spPr>
        <c:dLbl>
          <c:idx val="0"/>
          <c:layout>
            <c:manualLayout>
              <c:x val="0"/>
              <c:y val="-0.3827972181962480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dLbl>
          <c:idx val="0"/>
          <c:layout>
            <c:manualLayout>
              <c:x val="-8.3332334442033779E-3"/>
              <c:y val="-0.3649285782405840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'!$V$3</c:f>
              <c:strCache>
                <c:ptCount val="1"/>
                <c:pt idx="0">
                  <c:v>Sum of Net Sales</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'!$U$4:$U$10</c:f>
              <c:strCache>
                <c:ptCount val="6"/>
                <c:pt idx="0">
                  <c:v>Headphones</c:v>
                </c:pt>
                <c:pt idx="1">
                  <c:v>Laptop</c:v>
                </c:pt>
                <c:pt idx="2">
                  <c:v>Mobile</c:v>
                </c:pt>
                <c:pt idx="3">
                  <c:v>Rice</c:v>
                </c:pt>
                <c:pt idx="4">
                  <c:v>Shirt</c:v>
                </c:pt>
                <c:pt idx="5">
                  <c:v>Shoes</c:v>
                </c:pt>
              </c:strCache>
            </c:strRef>
          </c:cat>
          <c:val>
            <c:numRef>
              <c:f>'Pivot '!$V$4:$V$10</c:f>
              <c:numCache>
                <c:formatCode>General</c:formatCode>
                <c:ptCount val="6"/>
                <c:pt idx="0">
                  <c:v>5184203.8</c:v>
                </c:pt>
                <c:pt idx="1">
                  <c:v>5134683.55</c:v>
                </c:pt>
                <c:pt idx="2">
                  <c:v>4859713.1000000006</c:v>
                </c:pt>
                <c:pt idx="3">
                  <c:v>4569345.25</c:v>
                </c:pt>
                <c:pt idx="4">
                  <c:v>6470698.9500000011</c:v>
                </c:pt>
                <c:pt idx="5">
                  <c:v>6113452.5999999996</c:v>
                </c:pt>
              </c:numCache>
            </c:numRef>
          </c:val>
          <c:extLst>
            <c:ext xmlns:c16="http://schemas.microsoft.com/office/drawing/2014/chart" uri="{C3380CC4-5D6E-409C-BE32-E72D297353CC}">
              <c16:uniqueId val="{00000000-557C-4378-AB83-4407F59C6BEA}"/>
            </c:ext>
          </c:extLst>
        </c:ser>
        <c:dLbls>
          <c:showLegendKey val="0"/>
          <c:showVal val="1"/>
          <c:showCatName val="0"/>
          <c:showSerName val="0"/>
          <c:showPercent val="0"/>
          <c:showBubbleSize val="0"/>
        </c:dLbls>
        <c:gapWidth val="90"/>
        <c:overlap val="100"/>
        <c:axId val="515534960"/>
        <c:axId val="515535440"/>
      </c:barChart>
      <c:barChart>
        <c:barDir val="col"/>
        <c:grouping val="stacked"/>
        <c:varyColors val="0"/>
        <c:ser>
          <c:idx val="1"/>
          <c:order val="1"/>
          <c:tx>
            <c:strRef>
              <c:f>'Pivot '!$W$3</c:f>
              <c:strCache>
                <c:ptCount val="1"/>
                <c:pt idx="0">
                  <c:v>Sum of Quantity Sold</c:v>
                </c:pt>
              </c:strCache>
            </c:strRef>
          </c:tx>
          <c:spPr>
            <a:solidFill>
              <a:schemeClr val="tx1">
                <a:lumMod val="50000"/>
                <a:lumOff val="50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A-557C-4378-AB83-4407F59C6BEA}"/>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B-557C-4378-AB83-4407F59C6BEA}"/>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9-557C-4378-AB83-4407F59C6BEA}"/>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C-557C-4378-AB83-4407F59C6BEA}"/>
              </c:ext>
            </c:extLst>
          </c:dPt>
          <c:dPt>
            <c:idx val="4"/>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D-557C-4378-AB83-4407F59C6BEA}"/>
              </c:ext>
            </c:extLst>
          </c:dPt>
          <c:dPt>
            <c:idx val="5"/>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E-557C-4378-AB83-4407F59C6BEA}"/>
              </c:ext>
            </c:extLst>
          </c:dPt>
          <c:dLbls>
            <c:dLbl>
              <c:idx val="0"/>
              <c:layout>
                <c:manualLayout>
                  <c:x val="0"/>
                  <c:y val="-0.394980605059916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57C-4378-AB83-4407F59C6BEA}"/>
                </c:ext>
              </c:extLst>
            </c:dLbl>
            <c:dLbl>
              <c:idx val="1"/>
              <c:layout>
                <c:manualLayout>
                  <c:x val="2.7778133704562673E-3"/>
                  <c:y val="-0.36777120478658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57C-4378-AB83-4407F59C6BEA}"/>
                </c:ext>
              </c:extLst>
            </c:dLbl>
            <c:dLbl>
              <c:idx val="2"/>
              <c:layout>
                <c:manualLayout>
                  <c:x val="-5.5556267409125832E-3"/>
                  <c:y val="-0.370126757813539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7C-4378-AB83-4407F59C6BEA}"/>
                </c:ext>
              </c:extLst>
            </c:dLbl>
            <c:dLbl>
              <c:idx val="3"/>
              <c:layout>
                <c:manualLayout>
                  <c:x val="-2.7778133704563636E-3"/>
                  <c:y val="-0.36720267947738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57C-4378-AB83-4407F59C6BEA}"/>
                </c:ext>
              </c:extLst>
            </c:dLbl>
            <c:dLbl>
              <c:idx val="4"/>
              <c:layout>
                <c:manualLayout>
                  <c:x val="0"/>
                  <c:y val="-0.382797218196248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57C-4378-AB83-4407F59C6BEA}"/>
                </c:ext>
              </c:extLst>
            </c:dLbl>
            <c:dLbl>
              <c:idx val="5"/>
              <c:layout>
                <c:manualLayout>
                  <c:x val="-8.3332334442033779E-3"/>
                  <c:y val="-0.364928578240584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57C-4378-AB83-4407F59C6BEA}"/>
                </c:ext>
              </c:extLst>
            </c:dLbl>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'!$U$4:$U$10</c:f>
              <c:strCache>
                <c:ptCount val="6"/>
                <c:pt idx="0">
                  <c:v>Headphones</c:v>
                </c:pt>
                <c:pt idx="1">
                  <c:v>Laptop</c:v>
                </c:pt>
                <c:pt idx="2">
                  <c:v>Mobile</c:v>
                </c:pt>
                <c:pt idx="3">
                  <c:v>Rice</c:v>
                </c:pt>
                <c:pt idx="4">
                  <c:v>Shirt</c:v>
                </c:pt>
                <c:pt idx="5">
                  <c:v>Shoes</c:v>
                </c:pt>
              </c:strCache>
            </c:strRef>
          </c:cat>
          <c:val>
            <c:numRef>
              <c:f>'Pivot '!$W$4:$W$10</c:f>
              <c:numCache>
                <c:formatCode>0.00%</c:formatCode>
                <c:ptCount val="6"/>
                <c:pt idx="0">
                  <c:v>0.16726233023588277</c:v>
                </c:pt>
                <c:pt idx="1">
                  <c:v>0.15511079342387418</c:v>
                </c:pt>
                <c:pt idx="2">
                  <c:v>0.15868477483917084</c:v>
                </c:pt>
                <c:pt idx="3">
                  <c:v>0.15939957112223016</c:v>
                </c:pt>
                <c:pt idx="4">
                  <c:v>0.17083631165117941</c:v>
                </c:pt>
                <c:pt idx="5">
                  <c:v>0.18870621872766261</c:v>
                </c:pt>
              </c:numCache>
            </c:numRef>
          </c:val>
          <c:extLst>
            <c:ext xmlns:c16="http://schemas.microsoft.com/office/drawing/2014/chart" uri="{C3380CC4-5D6E-409C-BE32-E72D297353CC}">
              <c16:uniqueId val="{00000001-557C-4378-AB83-4407F59C6BEA}"/>
            </c:ext>
          </c:extLst>
        </c:ser>
        <c:dLbls>
          <c:showLegendKey val="0"/>
          <c:showVal val="1"/>
          <c:showCatName val="0"/>
          <c:showSerName val="0"/>
          <c:showPercent val="0"/>
          <c:showBubbleSize val="0"/>
        </c:dLbls>
        <c:gapWidth val="380"/>
        <c:overlap val="100"/>
        <c:axId val="266777504"/>
        <c:axId val="360228352"/>
      </c:barChart>
      <c:catAx>
        <c:axId val="5155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35440"/>
        <c:crosses val="autoZero"/>
        <c:auto val="1"/>
        <c:lblAlgn val="ctr"/>
        <c:lblOffset val="100"/>
        <c:noMultiLvlLbl val="0"/>
      </c:catAx>
      <c:valAx>
        <c:axId val="51553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34960"/>
        <c:crosses val="autoZero"/>
        <c:crossBetween val="between"/>
      </c:valAx>
      <c:valAx>
        <c:axId val="3602283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77504"/>
        <c:crosses val="max"/>
        <c:crossBetween val="between"/>
      </c:valAx>
      <c:catAx>
        <c:axId val="266777504"/>
        <c:scaling>
          <c:orientation val="minMax"/>
        </c:scaling>
        <c:delete val="1"/>
        <c:axPos val="b"/>
        <c:numFmt formatCode="General" sourceLinked="1"/>
        <c:majorTickMark val="out"/>
        <c:minorTickMark val="none"/>
        <c:tickLblPos val="nextTo"/>
        <c:crossAx val="360228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[Sales_Dasboard_Project.xlsx]Pivot !Payment Mode</c:name>
    <c:fmtId val="2"/>
  </c:pivotSource>
  <c:chart>
    <c:autoTitleDeleted val="1"/>
    <c:pivotFmts>
      <c:pivotFmt>
        <c:idx val="0"/>
        <c:spPr>
          <a:solidFill>
            <a:srgbClr val="FFC000"/>
          </a:solidFill>
          <a:ln w="19050">
            <a:solidFill>
              <a:schemeClr val="lt1"/>
            </a:solidFill>
          </a:ln>
          <a:effectLst>
            <a:softEdge rad="0"/>
          </a:effectLst>
          <a:scene3d>
            <a:camera prst="orthographicFront"/>
            <a:lightRig rig="threePt" dir="t"/>
          </a:scene3d>
          <a:sp3d>
            <a:bevelB w="31750" h="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a:softEdge rad="0"/>
          </a:effectLst>
          <a:scene3d>
            <a:camera prst="orthographicFront"/>
            <a:lightRig rig="threePt" dir="t"/>
          </a:scene3d>
          <a:sp3d>
            <a:bevelB w="31750" h="69850"/>
          </a:sp3d>
        </c:spPr>
      </c:pivotFmt>
      <c:pivotFmt>
        <c:idx val="2"/>
        <c:spPr>
          <a:solidFill>
            <a:srgbClr val="FF0000"/>
          </a:solidFill>
          <a:ln w="19050">
            <a:solidFill>
              <a:schemeClr val="lt1"/>
            </a:solidFill>
          </a:ln>
          <a:effectLst>
            <a:softEdge rad="0"/>
          </a:effectLst>
          <a:scene3d>
            <a:camera prst="orthographicFront"/>
            <a:lightRig rig="threePt" dir="t"/>
          </a:scene3d>
          <a:sp3d>
            <a:bevelB w="31750" h="69850"/>
          </a:sp3d>
        </c:spPr>
      </c:pivotFmt>
      <c:pivotFmt>
        <c:idx val="3"/>
        <c:spPr>
          <a:solidFill>
            <a:srgbClr val="FFC000"/>
          </a:solidFill>
          <a:ln w="19050">
            <a:solidFill>
              <a:schemeClr val="lt1"/>
            </a:solidFill>
          </a:ln>
          <a:effectLst>
            <a:softEdge rad="0"/>
          </a:effectLst>
          <a:scene3d>
            <a:camera prst="orthographicFront"/>
            <a:lightRig rig="threePt" dir="t"/>
          </a:scene3d>
          <a:sp3d>
            <a:bevelB w="31750" h="69850"/>
          </a:sp3d>
        </c:spPr>
      </c:pivotFmt>
      <c:pivotFmt>
        <c:idx val="4"/>
        <c:spPr>
          <a:solidFill>
            <a:srgbClr val="FFC000"/>
          </a:solidFill>
          <a:ln w="19050">
            <a:solidFill>
              <a:schemeClr val="lt1"/>
            </a:solidFill>
          </a:ln>
          <a:effectLst>
            <a:softEdge rad="0"/>
          </a:effectLst>
          <a:scene3d>
            <a:camera prst="orthographicFront"/>
            <a:lightRig rig="threePt" dir="t"/>
          </a:scene3d>
          <a:sp3d>
            <a:bevelB w="31750" h="69850"/>
          </a:sp3d>
        </c:spPr>
      </c:pivotFmt>
    </c:pivotFmts>
    <c:plotArea>
      <c:layout>
        <c:manualLayout>
          <c:layoutTarget val="inner"/>
          <c:xMode val="edge"/>
          <c:yMode val="edge"/>
          <c:x val="0.21561808270469687"/>
          <c:y val="6.2992108626391763E-2"/>
          <c:w val="0.51282014573353152"/>
          <c:h val="0.76990299876606005"/>
        </c:manualLayout>
      </c:layout>
      <c:doughnutChart>
        <c:varyColors val="1"/>
        <c:ser>
          <c:idx val="0"/>
          <c:order val="0"/>
          <c:tx>
            <c:strRef>
              <c:f>'Pivot '!$AA$3</c:f>
              <c:strCache>
                <c:ptCount val="1"/>
                <c:pt idx="0">
                  <c:v>Total</c:v>
                </c:pt>
              </c:strCache>
            </c:strRef>
          </c:tx>
          <c:spPr>
            <a:solidFill>
              <a:srgbClr val="FFC000"/>
            </a:solidFill>
            <a:effectLst>
              <a:softEdge rad="0"/>
            </a:effectLst>
            <a:scene3d>
              <a:camera prst="orthographicFront"/>
              <a:lightRig rig="threePt" dir="t"/>
            </a:scene3d>
            <a:sp3d>
              <a:bevelB w="31750" h="69850"/>
            </a:sp3d>
          </c:spPr>
          <c:explosion val="1"/>
          <c:dPt>
            <c:idx val="0"/>
            <c:bubble3D val="0"/>
            <c:spPr>
              <a:solidFill>
                <a:srgbClr val="FFC000"/>
              </a:solidFill>
              <a:ln w="19050">
                <a:solidFill>
                  <a:schemeClr val="lt1"/>
                </a:solidFill>
              </a:ln>
              <a:effectLst>
                <a:softEdge rad="0"/>
              </a:effectLst>
              <a:scene3d>
                <a:camera prst="orthographicFront"/>
                <a:lightRig rig="threePt" dir="t"/>
              </a:scene3d>
              <a:sp3d>
                <a:bevelB w="31750" h="69850"/>
              </a:sp3d>
            </c:spPr>
            <c:extLst>
              <c:ext xmlns:c16="http://schemas.microsoft.com/office/drawing/2014/chart" uri="{C3380CC4-5D6E-409C-BE32-E72D297353CC}">
                <c16:uniqueId val="{00000001-F04F-4105-AC5D-E283B39102C0}"/>
              </c:ext>
            </c:extLst>
          </c:dPt>
          <c:dPt>
            <c:idx val="1"/>
            <c:bubble3D val="0"/>
            <c:spPr>
              <a:solidFill>
                <a:srgbClr val="FF0000"/>
              </a:solidFill>
              <a:ln w="19050">
                <a:solidFill>
                  <a:schemeClr val="lt1"/>
                </a:solidFill>
              </a:ln>
              <a:effectLst>
                <a:softEdge rad="0"/>
              </a:effectLst>
              <a:scene3d>
                <a:camera prst="orthographicFront"/>
                <a:lightRig rig="threePt" dir="t"/>
              </a:scene3d>
              <a:sp3d>
                <a:bevelB w="31750" h="69850"/>
              </a:sp3d>
            </c:spPr>
            <c:extLst>
              <c:ext xmlns:c16="http://schemas.microsoft.com/office/drawing/2014/chart" uri="{C3380CC4-5D6E-409C-BE32-E72D297353CC}">
                <c16:uniqueId val="{00000003-0656-4AA8-9D65-063F1B09F480}"/>
              </c:ext>
            </c:extLst>
          </c:dPt>
          <c:dPt>
            <c:idx val="2"/>
            <c:bubble3D val="0"/>
            <c:spPr>
              <a:solidFill>
                <a:srgbClr val="FFC000"/>
              </a:solidFill>
              <a:ln w="19050">
                <a:solidFill>
                  <a:schemeClr val="lt1"/>
                </a:solidFill>
              </a:ln>
              <a:effectLst>
                <a:softEdge rad="0"/>
              </a:effectLst>
              <a:scene3d>
                <a:camera prst="orthographicFront"/>
                <a:lightRig rig="threePt" dir="t"/>
              </a:scene3d>
              <a:sp3d>
                <a:bevelB w="31750" h="69850"/>
              </a:sp3d>
            </c:spPr>
            <c:extLst>
              <c:ext xmlns:c16="http://schemas.microsoft.com/office/drawing/2014/chart" uri="{C3380CC4-5D6E-409C-BE32-E72D297353CC}">
                <c16:uniqueId val="{00000005-F04F-4105-AC5D-E283B39102C0}"/>
              </c:ext>
            </c:extLst>
          </c:dPt>
          <c:dPt>
            <c:idx val="3"/>
            <c:bubble3D val="0"/>
            <c:spPr>
              <a:solidFill>
                <a:srgbClr val="92D050"/>
              </a:solidFill>
              <a:ln w="19050">
                <a:solidFill>
                  <a:schemeClr val="lt1"/>
                </a:solidFill>
              </a:ln>
              <a:effectLst>
                <a:softEdge rad="0"/>
              </a:effectLst>
              <a:scene3d>
                <a:camera prst="orthographicFront"/>
                <a:lightRig rig="threePt" dir="t"/>
              </a:scene3d>
              <a:sp3d>
                <a:bevelB w="31750" h="69850"/>
              </a:sp3d>
            </c:spPr>
            <c:extLst>
              <c:ext xmlns:c16="http://schemas.microsoft.com/office/drawing/2014/chart" uri="{C3380CC4-5D6E-409C-BE32-E72D297353CC}">
                <c16:uniqueId val="{00000002-0656-4AA8-9D65-063F1B09F480}"/>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'!$Z$4:$Z$8</c:f>
              <c:strCache>
                <c:ptCount val="4"/>
                <c:pt idx="0">
                  <c:v>Cash</c:v>
                </c:pt>
                <c:pt idx="1">
                  <c:v>Credit Card</c:v>
                </c:pt>
                <c:pt idx="2">
                  <c:v>Debit Card</c:v>
                </c:pt>
                <c:pt idx="3">
                  <c:v>UPI</c:v>
                </c:pt>
              </c:strCache>
            </c:strRef>
          </c:cat>
          <c:val>
            <c:numRef>
              <c:f>'Pivot '!$AA$4:$AA$8</c:f>
              <c:numCache>
                <c:formatCode>0.00%</c:formatCode>
                <c:ptCount val="4"/>
                <c:pt idx="0">
                  <c:v>0.27571972461514233</c:v>
                </c:pt>
                <c:pt idx="1">
                  <c:v>0.29182230824819139</c:v>
                </c:pt>
                <c:pt idx="2">
                  <c:v>0.18401536726789347</c:v>
                </c:pt>
                <c:pt idx="3">
                  <c:v>0.24844259986877279</c:v>
                </c:pt>
              </c:numCache>
            </c:numRef>
          </c:val>
          <c:extLst>
            <c:ext xmlns:c16="http://schemas.microsoft.com/office/drawing/2014/chart" uri="{C3380CC4-5D6E-409C-BE32-E72D297353CC}">
              <c16:uniqueId val="{00000000-0656-4AA8-9D65-063F1B09F480}"/>
            </c:ext>
          </c:extLst>
        </c:ser>
        <c:dLbls>
          <c:showLegendKey val="0"/>
          <c:showVal val="0"/>
          <c:showCatName val="0"/>
          <c:showSerName val="0"/>
          <c:showPercent val="0"/>
          <c:showBubbleSize val="0"/>
          <c:showLeaderLines val="1"/>
        </c:dLbls>
        <c:firstSliceAng val="4"/>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!Date</c:name>
    <c:fmtId val="0"/>
  </c:pivotSource>
  <c:chart>
    <c:title>
      <c:tx>
        <c:strRef>
          <c:f>'Pivot '!$AL$16</c:f>
          <c:strCache>
            <c:ptCount val="1"/>
            <c:pt idx="0">
              <c:v>63251462.2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'!$AL$16</c:f>
              <c:strCache>
                <c:ptCount val="1"/>
                <c:pt idx="0">
                  <c:v>Total</c:v>
                </c:pt>
              </c:strCache>
            </c:strRef>
          </c:tx>
          <c:spPr>
            <a:solidFill>
              <a:schemeClr val="accent1"/>
            </a:solidFill>
            <a:ln>
              <a:noFill/>
            </a:ln>
            <a:effectLst/>
          </c:spPr>
          <c:invertIfNegative val="0"/>
          <c:dLbls>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'!$AL$16</c:f>
              <c:strCache>
                <c:ptCount val="6"/>
                <c:pt idx="0">
                  <c:v>Jan</c:v>
                </c:pt>
                <c:pt idx="1">
                  <c:v>Feb</c:v>
                </c:pt>
                <c:pt idx="2">
                  <c:v>Mar</c:v>
                </c:pt>
                <c:pt idx="3">
                  <c:v>Apr</c:v>
                </c:pt>
                <c:pt idx="4">
                  <c:v>May</c:v>
                </c:pt>
                <c:pt idx="5">
                  <c:v>Jun</c:v>
                </c:pt>
              </c:strCache>
            </c:strRef>
          </c:cat>
          <c:val>
            <c:numRef>
              <c:f>'Pivot '!$AL$16</c:f>
              <c:numCache>
                <c:formatCode>0.00%</c:formatCode>
                <c:ptCount val="6"/>
                <c:pt idx="0">
                  <c:v>0.18114279456461799</c:v>
                </c:pt>
                <c:pt idx="1">
                  <c:v>0.12540172134982674</c:v>
                </c:pt>
                <c:pt idx="2">
                  <c:v>0.17161048375851959</c:v>
                </c:pt>
                <c:pt idx="3">
                  <c:v>0.15266745648552077</c:v>
                </c:pt>
                <c:pt idx="4">
                  <c:v>0.19268018563194195</c:v>
                </c:pt>
                <c:pt idx="5">
                  <c:v>0.17649735820957302</c:v>
                </c:pt>
              </c:numCache>
            </c:numRef>
          </c:val>
          <c:extLst>
            <c:ext xmlns:c16="http://schemas.microsoft.com/office/drawing/2014/chart" uri="{C3380CC4-5D6E-409C-BE32-E72D297353CC}">
              <c16:uniqueId val="{00000000-4D68-4BDD-B3D3-04B0944E17AB}"/>
            </c:ext>
          </c:extLst>
        </c:ser>
        <c:dLbls>
          <c:dLblPos val="ctr"/>
          <c:showLegendKey val="0"/>
          <c:showVal val="1"/>
          <c:showCatName val="0"/>
          <c:showSerName val="0"/>
          <c:showPercent val="0"/>
          <c:showBubbleSize val="0"/>
        </c:dLbls>
        <c:gapWidth val="182"/>
        <c:overlap val="100"/>
        <c:axId val="561330144"/>
        <c:axId val="561330624"/>
      </c:barChart>
      <c:catAx>
        <c:axId val="56133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624"/>
        <c:crosses val="autoZero"/>
        <c:auto val="1"/>
        <c:lblAlgn val="ctr"/>
        <c:lblOffset val="100"/>
        <c:noMultiLvlLbl val="0"/>
      </c:catAx>
      <c:valAx>
        <c:axId val="56133062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'Pivot '!$F$2</c:f>
          <c:strCache>
            <c:ptCount val="1"/>
            <c:pt idx="0">
              <c:v>32332097.25</c:v>
            </c:pt>
          </c:strCache>
        </c:strRef>
      </c:tx>
      <c:overlay val="0"/>
      <c:spPr>
        <a:solidFill>
          <a:schemeClr val="bg2">
            <a:lumMod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'Pivot '!$F$11</c:f>
              <c:strCache>
                <c:ptCount val="1"/>
                <c:pt idx="0">
                  <c:v>Sum of Net Sales</c:v>
                </c:pt>
              </c:strCache>
            </c:strRef>
          </c:tx>
          <c:spPr>
            <a:solidFill>
              <a:schemeClr val="dk1">
                <a:tint val="88500"/>
              </a:schemeClr>
            </a:solidFill>
            <a:ln>
              <a:noFill/>
            </a:ln>
            <a:effectLst/>
          </c:spPr>
          <c:invertIfNegative val="0"/>
          <c:cat>
            <c:strRef>
              <c:f>'Pivot '!$E$12:$E$16</c:f>
              <c:strCache>
                <c:ptCount val="5"/>
                <c:pt idx="0">
                  <c:v>East</c:v>
                </c:pt>
                <c:pt idx="1">
                  <c:v>North</c:v>
                </c:pt>
                <c:pt idx="2">
                  <c:v>South</c:v>
                </c:pt>
                <c:pt idx="3">
                  <c:v>West</c:v>
                </c:pt>
                <c:pt idx="4">
                  <c:v>Grand Total</c:v>
                </c:pt>
              </c:strCache>
            </c:strRef>
          </c:cat>
          <c:val>
            <c:numRef>
              <c:f>'Pivot '!$F$12:$F$16</c:f>
              <c:numCache>
                <c:formatCode>General</c:formatCode>
                <c:ptCount val="5"/>
                <c:pt idx="0">
                  <c:v>7398956.2500000009</c:v>
                </c:pt>
                <c:pt idx="1">
                  <c:v>7107088.5500000017</c:v>
                </c:pt>
                <c:pt idx="2">
                  <c:v>8121662.1999999993</c:v>
                </c:pt>
                <c:pt idx="3">
                  <c:v>9704390.2500000019</c:v>
                </c:pt>
                <c:pt idx="4">
                  <c:v>32332097.25</c:v>
                </c:pt>
              </c:numCache>
            </c:numRef>
          </c:val>
          <c:extLst>
            <c:ext xmlns:c16="http://schemas.microsoft.com/office/drawing/2014/chart" uri="{C3380CC4-5D6E-409C-BE32-E72D297353CC}">
              <c16:uniqueId val="{00000000-297D-424D-9003-CA92E650BEBA}"/>
            </c:ext>
          </c:extLst>
        </c:ser>
        <c:dLbls>
          <c:showLegendKey val="0"/>
          <c:showVal val="0"/>
          <c:showCatName val="0"/>
          <c:showSerName val="0"/>
          <c:showPercent val="0"/>
          <c:showBubbleSize val="0"/>
        </c:dLbls>
        <c:gapWidth val="219"/>
        <c:axId val="1055678191"/>
        <c:axId val="1055678671"/>
      </c:barChart>
      <c:lineChart>
        <c:grouping val="standard"/>
        <c:varyColors val="0"/>
        <c:ser>
          <c:idx val="1"/>
          <c:order val="1"/>
          <c:tx>
            <c:strRef>
              <c:f>'Pivot '!$G$11</c:f>
              <c:strCache>
                <c:ptCount val="1"/>
                <c:pt idx="0">
                  <c:v>Sum of Profit Amount</c:v>
                </c:pt>
              </c:strCache>
            </c:strRef>
          </c:tx>
          <c:spPr>
            <a:ln w="28575" cap="rnd">
              <a:solidFill>
                <a:schemeClr val="dk1">
                  <a:tint val="55000"/>
                </a:schemeClr>
              </a:solidFill>
              <a:round/>
            </a:ln>
            <a:effectLst/>
          </c:spPr>
          <c:marker>
            <c:symbol val="circle"/>
            <c:size val="5"/>
            <c:spPr>
              <a:solidFill>
                <a:schemeClr val="bg2">
                  <a:lumMod val="10000"/>
                </a:schemeClr>
              </a:solidFill>
              <a:ln w="9525">
                <a:solidFill>
                  <a:schemeClr val="dk1">
                    <a:tint val="55000"/>
                  </a:schemeClr>
                </a:solidFill>
              </a:ln>
              <a:effectLst/>
            </c:spPr>
          </c:marker>
          <c:dLbls>
            <c:spPr>
              <a:solidFill>
                <a:srgbClr val="92D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'!$E$12:$E$16</c:f>
              <c:strCache>
                <c:ptCount val="5"/>
                <c:pt idx="0">
                  <c:v>East</c:v>
                </c:pt>
                <c:pt idx="1">
                  <c:v>North</c:v>
                </c:pt>
                <c:pt idx="2">
                  <c:v>South</c:v>
                </c:pt>
                <c:pt idx="3">
                  <c:v>West</c:v>
                </c:pt>
                <c:pt idx="4">
                  <c:v>Grand Total</c:v>
                </c:pt>
              </c:strCache>
            </c:strRef>
          </c:cat>
          <c:val>
            <c:numRef>
              <c:f>'Pivot '!$G$12:$G$16</c:f>
              <c:numCache>
                <c:formatCode>0%</c:formatCode>
                <c:ptCount val="5"/>
                <c:pt idx="0">
                  <c:v>0.22524879616377019</c:v>
                </c:pt>
                <c:pt idx="1">
                  <c:v>0.22075216846368884</c:v>
                </c:pt>
                <c:pt idx="2">
                  <c:v>0.24557706819960984</c:v>
                </c:pt>
                <c:pt idx="3">
                  <c:v>0.30842196717293108</c:v>
                </c:pt>
                <c:pt idx="4">
                  <c:v>1</c:v>
                </c:pt>
              </c:numCache>
            </c:numRef>
          </c:val>
          <c:smooth val="0"/>
          <c:extLst>
            <c:ext xmlns:c16="http://schemas.microsoft.com/office/drawing/2014/chart" uri="{C3380CC4-5D6E-409C-BE32-E72D297353CC}">
              <c16:uniqueId val="{00000001-297D-424D-9003-CA92E650BEBA}"/>
            </c:ext>
          </c:extLst>
        </c:ser>
        <c:dLbls>
          <c:showLegendKey val="0"/>
          <c:showVal val="0"/>
          <c:showCatName val="0"/>
          <c:showSerName val="0"/>
          <c:showPercent val="0"/>
          <c:showBubbleSize val="0"/>
        </c:dLbls>
        <c:marker val="1"/>
        <c:smooth val="0"/>
        <c:axId val="1087067055"/>
        <c:axId val="1087065615"/>
      </c:lineChart>
      <c:catAx>
        <c:axId val="10556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78671"/>
        <c:crosses val="autoZero"/>
        <c:auto val="1"/>
        <c:lblAlgn val="ctr"/>
        <c:lblOffset val="100"/>
        <c:noMultiLvlLbl val="0"/>
      </c:catAx>
      <c:valAx>
        <c:axId val="105567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78191"/>
        <c:crosses val="autoZero"/>
        <c:crossBetween val="between"/>
      </c:valAx>
      <c:valAx>
        <c:axId val="1087065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067055"/>
        <c:crosses val="max"/>
        <c:crossBetween val="between"/>
      </c:valAx>
      <c:catAx>
        <c:axId val="1087067055"/>
        <c:scaling>
          <c:orientation val="minMax"/>
        </c:scaling>
        <c:delete val="1"/>
        <c:axPos val="b"/>
        <c:numFmt formatCode="General" sourceLinked="1"/>
        <c:majorTickMark val="out"/>
        <c:minorTickMark val="none"/>
        <c:tickLblPos val="nextTo"/>
        <c:crossAx val="10870656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!Ctiy Sales</c:name>
    <c:fmtId val="18"/>
  </c:pivotSource>
  <c:chart>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7.3952053500783377E-2"/>
              <c:y val="-0.1337224962638626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7.0930835031480149E-2"/>
              <c:y val="-8.741672595415640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7.0930835031480149E-2"/>
              <c:y val="-0.1163578323977228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7.6973319643617769E-2"/>
              <c:y val="-0.2691152778654620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7.0930835031480149E-2"/>
              <c:y val="-0.1279342749751493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'!$J$3</c:f>
              <c:strCache>
                <c:ptCount val="1"/>
                <c:pt idx="0">
                  <c:v>Sum of Net Sales</c:v>
                </c:pt>
              </c:strCache>
            </c:strRef>
          </c:tx>
          <c:spPr>
            <a:solidFill>
              <a:schemeClr val="tx1">
                <a:lumMod val="65000"/>
                <a:lumOff val="35000"/>
              </a:schemeClr>
            </a:solidFill>
            <a:ln>
              <a:noFill/>
            </a:ln>
            <a:effectLst/>
          </c:spPr>
          <c:cat>
            <c:strRef>
              <c:f>'Pivot '!$I$4:$I$12</c:f>
              <c:strCache>
                <c:ptCount val="8"/>
                <c:pt idx="0">
                  <c:v>Ahmedabad</c:v>
                </c:pt>
                <c:pt idx="1">
                  <c:v>Chennai</c:v>
                </c:pt>
                <c:pt idx="2">
                  <c:v>Delhi</c:v>
                </c:pt>
                <c:pt idx="3">
                  <c:v>Jaipur</c:v>
                </c:pt>
                <c:pt idx="4">
                  <c:v>Kolkata</c:v>
                </c:pt>
                <c:pt idx="5">
                  <c:v>Lucknow</c:v>
                </c:pt>
                <c:pt idx="6">
                  <c:v>Mumbai</c:v>
                </c:pt>
                <c:pt idx="7">
                  <c:v>Pune</c:v>
                </c:pt>
              </c:strCache>
            </c:strRef>
          </c:cat>
          <c:val>
            <c:numRef>
              <c:f>'Pivot '!$J$4:$J$12</c:f>
              <c:numCache>
                <c:formatCode>General</c:formatCode>
                <c:ptCount val="8"/>
                <c:pt idx="0">
                  <c:v>3145400.8499999996</c:v>
                </c:pt>
                <c:pt idx="1">
                  <c:v>4550188.6499999994</c:v>
                </c:pt>
                <c:pt idx="2">
                  <c:v>4070481.7</c:v>
                </c:pt>
                <c:pt idx="3">
                  <c:v>4548205.5</c:v>
                </c:pt>
                <c:pt idx="4">
                  <c:v>3519296.6499999994</c:v>
                </c:pt>
                <c:pt idx="5">
                  <c:v>2902886.9</c:v>
                </c:pt>
                <c:pt idx="6">
                  <c:v>4626005.0999999996</c:v>
                </c:pt>
                <c:pt idx="7">
                  <c:v>4969631.9000000004</c:v>
                </c:pt>
              </c:numCache>
            </c:numRef>
          </c:val>
          <c:extLst>
            <c:ext xmlns:c16="http://schemas.microsoft.com/office/drawing/2014/chart" uri="{C3380CC4-5D6E-409C-BE32-E72D297353CC}">
              <c16:uniqueId val="{00000000-BE20-4495-A7C5-EEB34191B58F}"/>
            </c:ext>
          </c:extLst>
        </c:ser>
        <c:dLbls>
          <c:showLegendKey val="0"/>
          <c:showVal val="0"/>
          <c:showCatName val="0"/>
          <c:showSerName val="0"/>
          <c:showPercent val="0"/>
          <c:showBubbleSize val="0"/>
        </c:dLbls>
        <c:axId val="598547135"/>
        <c:axId val="598548575"/>
      </c:areaChart>
      <c:lineChart>
        <c:grouping val="standard"/>
        <c:varyColors val="0"/>
        <c:ser>
          <c:idx val="1"/>
          <c:order val="1"/>
          <c:tx>
            <c:strRef>
              <c:f>'Pivot '!$K$3</c:f>
              <c:strCache>
                <c:ptCount val="1"/>
                <c:pt idx="0">
                  <c:v>Sum of Profit Amount</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2-BE20-4495-A7C5-EEB34191B58F}"/>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BE20-4495-A7C5-EEB34191B58F}"/>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4-BE20-4495-A7C5-EEB34191B58F}"/>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BE20-4495-A7C5-EEB34191B58F}"/>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BE20-4495-A7C5-EEB34191B58F}"/>
              </c:ext>
            </c:extLst>
          </c:dPt>
          <c:dLbls>
            <c:dLbl>
              <c:idx val="0"/>
              <c:layout>
                <c:manualLayout>
                  <c:x val="-7.3952053500783377E-2"/>
                  <c:y val="-0.133722496263862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20-4495-A7C5-EEB34191B58F}"/>
                </c:ext>
              </c:extLst>
            </c:dLbl>
            <c:dLbl>
              <c:idx val="1"/>
              <c:layout>
                <c:manualLayout>
                  <c:x val="-7.0930835031480149E-2"/>
                  <c:y val="-8.7416725954156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20-4495-A7C5-EEB34191B58F}"/>
                </c:ext>
              </c:extLst>
            </c:dLbl>
            <c:dLbl>
              <c:idx val="2"/>
              <c:layout>
                <c:manualLayout>
                  <c:x val="-7.0930835031480149E-2"/>
                  <c:y val="-0.116357832397722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20-4495-A7C5-EEB34191B58F}"/>
                </c:ext>
              </c:extLst>
            </c:dLbl>
            <c:dLbl>
              <c:idx val="4"/>
              <c:layout>
                <c:manualLayout>
                  <c:x val="-7.6973319643617769E-2"/>
                  <c:y val="-0.269115277865462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20-4495-A7C5-EEB34191B58F}"/>
                </c:ext>
              </c:extLst>
            </c:dLbl>
            <c:dLbl>
              <c:idx val="6"/>
              <c:layout>
                <c:manualLayout>
                  <c:x val="-7.0930835031480149E-2"/>
                  <c:y val="-0.127934274975149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20-4495-A7C5-EEB34191B58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'!$I$4:$I$12</c:f>
              <c:strCache>
                <c:ptCount val="8"/>
                <c:pt idx="0">
                  <c:v>Ahmedabad</c:v>
                </c:pt>
                <c:pt idx="1">
                  <c:v>Chennai</c:v>
                </c:pt>
                <c:pt idx="2">
                  <c:v>Delhi</c:v>
                </c:pt>
                <c:pt idx="3">
                  <c:v>Jaipur</c:v>
                </c:pt>
                <c:pt idx="4">
                  <c:v>Kolkata</c:v>
                </c:pt>
                <c:pt idx="5">
                  <c:v>Lucknow</c:v>
                </c:pt>
                <c:pt idx="6">
                  <c:v>Mumbai</c:v>
                </c:pt>
                <c:pt idx="7">
                  <c:v>Pune</c:v>
                </c:pt>
              </c:strCache>
            </c:strRef>
          </c:cat>
          <c:val>
            <c:numRef>
              <c:f>'Pivot '!$K$4:$K$12</c:f>
              <c:numCache>
                <c:formatCode>0.00%</c:formatCode>
                <c:ptCount val="8"/>
                <c:pt idx="0">
                  <c:v>9.277748851449312E-2</c:v>
                </c:pt>
                <c:pt idx="1">
                  <c:v>0.12342055657053917</c:v>
                </c:pt>
                <c:pt idx="2">
                  <c:v>0.12996119463924558</c:v>
                </c:pt>
                <c:pt idx="3">
                  <c:v>0.12934485496140344</c:v>
                </c:pt>
                <c:pt idx="4">
                  <c:v>0.10586325936901503</c:v>
                </c:pt>
                <c:pt idx="5">
                  <c:v>0.10701440695965377</c:v>
                </c:pt>
                <c:pt idx="6">
                  <c:v>0.16467250494201699</c:v>
                </c:pt>
                <c:pt idx="7">
                  <c:v>0.14694573404363298</c:v>
                </c:pt>
              </c:numCache>
            </c:numRef>
          </c:val>
          <c:smooth val="0"/>
          <c:extLst>
            <c:ext xmlns:c16="http://schemas.microsoft.com/office/drawing/2014/chart" uri="{C3380CC4-5D6E-409C-BE32-E72D297353CC}">
              <c16:uniqueId val="{00000001-BE20-4495-A7C5-EEB34191B58F}"/>
            </c:ext>
          </c:extLst>
        </c:ser>
        <c:dLbls>
          <c:showLegendKey val="0"/>
          <c:showVal val="0"/>
          <c:showCatName val="0"/>
          <c:showSerName val="0"/>
          <c:showPercent val="0"/>
          <c:showBubbleSize val="0"/>
        </c:dLbls>
        <c:marker val="1"/>
        <c:smooth val="0"/>
        <c:axId val="1189341023"/>
        <c:axId val="1189340543"/>
      </c:lineChart>
      <c:catAx>
        <c:axId val="59854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48575"/>
        <c:crosses val="autoZero"/>
        <c:auto val="1"/>
        <c:lblAlgn val="ctr"/>
        <c:lblOffset val="100"/>
        <c:noMultiLvlLbl val="0"/>
      </c:catAx>
      <c:valAx>
        <c:axId val="59854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47135"/>
        <c:crosses val="autoZero"/>
        <c:crossBetween val="between"/>
      </c:valAx>
      <c:valAx>
        <c:axId val="11893405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41023"/>
        <c:crosses val="max"/>
        <c:crossBetween val="between"/>
      </c:valAx>
      <c:catAx>
        <c:axId val="1189341023"/>
        <c:scaling>
          <c:orientation val="minMax"/>
        </c:scaling>
        <c:delete val="1"/>
        <c:axPos val="b"/>
        <c:numFmt formatCode="General" sourceLinked="1"/>
        <c:majorTickMark val="out"/>
        <c:minorTickMark val="none"/>
        <c:tickLblPos val="nextTo"/>
        <c:crossAx val="118934054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!Channel Sales</c:name>
    <c:fmtId val="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Online_Offline</a:t>
            </a:r>
          </a:p>
        </c:rich>
      </c:tx>
      <c:layout>
        <c:manualLayout>
          <c:xMode val="edge"/>
          <c:yMode val="edge"/>
          <c:x val="0.45385547225067946"/>
          <c:y val="5.072676028464332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3.7539407574053246E-2"/>
          <c:y val="3.6993175133936025E-2"/>
          <c:w val="0.56203794525684292"/>
          <c:h val="0.89618828193120426"/>
        </c:manualLayout>
      </c:layout>
      <c:pieChart>
        <c:varyColors val="1"/>
        <c:ser>
          <c:idx val="0"/>
          <c:order val="0"/>
          <c:tx>
            <c:strRef>
              <c:f>'Pivot '!$N$3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F3F-4055-A2A0-128920C3A5A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F3F-4055-A2A0-128920C3A5A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F3F-4055-A2A0-128920C3A5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'!$M$4:$M$7</c:f>
              <c:strCache>
                <c:ptCount val="3"/>
                <c:pt idx="0">
                  <c:v>Distributor</c:v>
                </c:pt>
                <c:pt idx="1">
                  <c:v>Online</c:v>
                </c:pt>
                <c:pt idx="2">
                  <c:v>Retail Store</c:v>
                </c:pt>
              </c:strCache>
            </c:strRef>
          </c:cat>
          <c:val>
            <c:numRef>
              <c:f>'Pivot '!$N$4:$N$7</c:f>
              <c:numCache>
                <c:formatCode>General</c:formatCode>
                <c:ptCount val="3"/>
                <c:pt idx="0">
                  <c:v>9170174.700000003</c:v>
                </c:pt>
                <c:pt idx="1">
                  <c:v>11941341.100000005</c:v>
                </c:pt>
                <c:pt idx="2">
                  <c:v>11220581.450000007</c:v>
                </c:pt>
              </c:numCache>
            </c:numRef>
          </c:val>
          <c:extLst>
            <c:ext xmlns:c16="http://schemas.microsoft.com/office/drawing/2014/chart" uri="{C3380CC4-5D6E-409C-BE32-E72D297353CC}">
              <c16:uniqueId val="{00000006-DF3F-4055-A2A0-128920C3A5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!Product Sub-category</c:name>
    <c:fmtId val="8"/>
  </c:pivotSource>
  <c:chart>
    <c:autoTitleDeleted val="1"/>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pivotFmt>
      <c:pivotFmt>
        <c:idx val="3"/>
        <c:spPr>
          <a:solidFill>
            <a:schemeClr val="tx1">
              <a:lumMod val="85000"/>
              <a:lumOff val="15000"/>
            </a:schemeClr>
          </a:solidFill>
          <a:ln>
            <a:noFill/>
          </a:ln>
          <a:effectLst/>
        </c:spPr>
      </c:pivotFmt>
      <c:pivotFmt>
        <c:idx val="4"/>
        <c:spPr>
          <a:solidFill>
            <a:schemeClr val="tx1">
              <a:lumMod val="85000"/>
              <a:lumOff val="15000"/>
            </a:schemeClr>
          </a:solidFill>
          <a:ln>
            <a:noFill/>
          </a:ln>
          <a:effectLst/>
        </c:spPr>
      </c:pivotFmt>
      <c:pivotFmt>
        <c:idx val="5"/>
        <c:spPr>
          <a:solidFill>
            <a:schemeClr val="tx1">
              <a:lumMod val="85000"/>
              <a:lumOff val="15000"/>
            </a:schemeClr>
          </a:solidFill>
          <a:ln>
            <a:noFill/>
          </a:ln>
          <a:effectLst/>
        </c:spPr>
      </c:pivotFmt>
      <c:pivotFmt>
        <c:idx val="6"/>
        <c:spPr>
          <a:solidFill>
            <a:schemeClr val="tx1">
              <a:lumMod val="85000"/>
              <a:lumOff val="15000"/>
            </a:schemeClr>
          </a:solidFill>
          <a:ln>
            <a:noFill/>
          </a:ln>
          <a:effectLst/>
        </c:spPr>
      </c:pivotFmt>
      <c:pivotFmt>
        <c:idx val="7"/>
        <c:spPr>
          <a:solidFill>
            <a:schemeClr val="tx1">
              <a:lumMod val="85000"/>
              <a:lumOff val="15000"/>
            </a:schemeClr>
          </a:solidFill>
          <a:ln>
            <a:noFill/>
          </a:ln>
          <a:effectLst/>
        </c:spPr>
      </c:pivotFmt>
      <c:pivotFmt>
        <c:idx val="8"/>
        <c:spPr>
          <a:solidFill>
            <a:schemeClr val="tx1">
              <a:lumMod val="50000"/>
              <a:lumOff val="50000"/>
            </a:schemeClr>
          </a:solidFill>
          <a:ln>
            <a:noFill/>
          </a:ln>
          <a:effectLst/>
        </c:spPr>
        <c:dLbl>
          <c:idx val="0"/>
          <c:layout>
            <c:manualLayout>
              <c:x val="-5.5556267409125832E-3"/>
              <c:y val="-0.3701267578135392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dLbl>
          <c:idx val="0"/>
          <c:layout>
            <c:manualLayout>
              <c:x val="2.7778133704562673E-3"/>
              <c:y val="-0.36777120478658204"/>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dLbl>
          <c:idx val="0"/>
          <c:layout>
            <c:manualLayout>
              <c:x val="0"/>
              <c:y val="-0.3949806050599161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dLbl>
          <c:idx val="0"/>
          <c:layout>
            <c:manualLayout>
              <c:x val="-2.7778133704563636E-3"/>
              <c:y val="-0.36720267947738239"/>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a:noFill/>
          </a:ln>
          <a:effectLst/>
        </c:spPr>
        <c:dLbl>
          <c:idx val="0"/>
          <c:layout>
            <c:manualLayout>
              <c:x val="0"/>
              <c:y val="-0.3827972181962480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dLbl>
          <c:idx val="0"/>
          <c:layout>
            <c:manualLayout>
              <c:x val="-8.3332334442033779E-3"/>
              <c:y val="-0.3649285782405840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50000"/>
              <a:lumOff val="50000"/>
            </a:schemeClr>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lumMod val="50000"/>
              <a:lumOff val="50000"/>
            </a:schemeClr>
          </a:solidFill>
          <a:ln>
            <a:noFill/>
          </a:ln>
          <a:effectLst/>
        </c:spPr>
        <c:dLbl>
          <c:idx val="0"/>
          <c:layout>
            <c:manualLayout>
              <c:x val="0"/>
              <c:y val="-0.3949806050599161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50000"/>
              <a:lumOff val="50000"/>
            </a:schemeClr>
          </a:solidFill>
          <a:ln>
            <a:noFill/>
          </a:ln>
          <a:effectLst/>
        </c:spPr>
        <c:dLbl>
          <c:idx val="0"/>
          <c:layout>
            <c:manualLayout>
              <c:x val="2.7778133704562673E-3"/>
              <c:y val="-0.36777120478658204"/>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50000"/>
              <a:lumOff val="50000"/>
            </a:schemeClr>
          </a:solidFill>
          <a:ln>
            <a:noFill/>
          </a:ln>
          <a:effectLst/>
        </c:spPr>
        <c:dLbl>
          <c:idx val="0"/>
          <c:layout>
            <c:manualLayout>
              <c:x val="-5.5556267409125832E-3"/>
              <c:y val="-0.3701267578135392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50000"/>
              <a:lumOff val="50000"/>
            </a:schemeClr>
          </a:solidFill>
          <a:ln>
            <a:noFill/>
          </a:ln>
          <a:effectLst/>
        </c:spPr>
        <c:dLbl>
          <c:idx val="0"/>
          <c:layout>
            <c:manualLayout>
              <c:x val="-2.7778133704563636E-3"/>
              <c:y val="-0.36720267947738239"/>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lumMod val="50000"/>
              <a:lumOff val="50000"/>
            </a:schemeClr>
          </a:solidFill>
          <a:ln>
            <a:noFill/>
          </a:ln>
          <a:effectLst/>
        </c:spPr>
        <c:dLbl>
          <c:idx val="0"/>
          <c:layout>
            <c:manualLayout>
              <c:x val="0"/>
              <c:y val="-0.38279721819624807"/>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lumMod val="50000"/>
              <a:lumOff val="50000"/>
            </a:schemeClr>
          </a:solidFill>
          <a:ln>
            <a:noFill/>
          </a:ln>
          <a:effectLst/>
        </c:spPr>
        <c:dLbl>
          <c:idx val="0"/>
          <c:layout>
            <c:manualLayout>
              <c:x val="-8.3332334442033779E-3"/>
              <c:y val="-0.36492857824058406"/>
            </c:manualLayout>
          </c:layout>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lumMod val="50000"/>
              <a:lumOff val="50000"/>
            </a:schemeClr>
          </a:solidFill>
          <a:ln>
            <a:noFill/>
          </a:ln>
          <a:effectLst/>
        </c:spPr>
        <c:dLbl>
          <c:idx val="0"/>
          <c:layout>
            <c:manualLayout>
              <c:x val="7.0228680065782707E-3"/>
              <c:y val="-0.35867390054107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lumMod val="50000"/>
              <a:lumOff val="50000"/>
            </a:schemeClr>
          </a:solidFill>
          <a:ln>
            <a:noFill/>
          </a:ln>
          <a:effectLst/>
        </c:spPr>
        <c:dLbl>
          <c:idx val="0"/>
          <c:layout>
            <c:manualLayout>
              <c:x val="3.2187773194247775E-17"/>
              <c:y val="-0.30277666928791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lumMod val="50000"/>
              <a:lumOff val="50000"/>
            </a:schemeClr>
          </a:solidFill>
          <a:ln>
            <a:noFill/>
          </a:ln>
          <a:effectLst/>
        </c:spPr>
        <c:dLbl>
          <c:idx val="0"/>
          <c:layout>
            <c:manualLayout>
              <c:x val="0"/>
              <c:y val="-0.32140907970563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dLbl>
          <c:idx val="0"/>
          <c:layout>
            <c:manualLayout>
              <c:x val="6.437554638849555E-17"/>
              <c:y val="-0.28414425887020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lumMod val="50000"/>
              <a:lumOff val="50000"/>
            </a:schemeClr>
          </a:solidFill>
          <a:ln>
            <a:noFill/>
          </a:ln>
          <a:effectLst/>
        </c:spPr>
        <c:dLbl>
          <c:idx val="0"/>
          <c:layout>
            <c:manualLayout>
              <c:x val="1.0534302009867406E-2"/>
              <c:y val="-0.42854543960751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lumMod val="50000"/>
              <a:lumOff val="50000"/>
            </a:schemeClr>
          </a:solidFill>
          <a:ln>
            <a:noFill/>
          </a:ln>
          <a:effectLst/>
        </c:spPr>
        <c:dLbl>
          <c:idx val="0"/>
          <c:layout>
            <c:manualLayout>
              <c:x val="3.5114340032891354E-3"/>
              <c:y val="-0.35401579793664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6547960632831"/>
          <c:y val="0.11081020667121486"/>
          <c:w val="0.73027245614207137"/>
          <c:h val="0.66466637693419273"/>
        </c:manualLayout>
      </c:layout>
      <c:barChart>
        <c:barDir val="col"/>
        <c:grouping val="stacked"/>
        <c:varyColors val="0"/>
        <c:ser>
          <c:idx val="0"/>
          <c:order val="0"/>
          <c:tx>
            <c:strRef>
              <c:f>'Pivot '!$V$3</c:f>
              <c:strCache>
                <c:ptCount val="1"/>
                <c:pt idx="0">
                  <c:v>Sum of Net Sales</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'!$U$4:$U$10</c:f>
              <c:strCache>
                <c:ptCount val="6"/>
                <c:pt idx="0">
                  <c:v>Headphones</c:v>
                </c:pt>
                <c:pt idx="1">
                  <c:v>Laptop</c:v>
                </c:pt>
                <c:pt idx="2">
                  <c:v>Mobile</c:v>
                </c:pt>
                <c:pt idx="3">
                  <c:v>Rice</c:v>
                </c:pt>
                <c:pt idx="4">
                  <c:v>Shirt</c:v>
                </c:pt>
                <c:pt idx="5">
                  <c:v>Shoes</c:v>
                </c:pt>
              </c:strCache>
            </c:strRef>
          </c:cat>
          <c:val>
            <c:numRef>
              <c:f>'Pivot '!$V$4:$V$10</c:f>
              <c:numCache>
                <c:formatCode>General</c:formatCode>
                <c:ptCount val="6"/>
                <c:pt idx="0">
                  <c:v>5184203.8</c:v>
                </c:pt>
                <c:pt idx="1">
                  <c:v>5134683.55</c:v>
                </c:pt>
                <c:pt idx="2">
                  <c:v>4859713.1000000006</c:v>
                </c:pt>
                <c:pt idx="3">
                  <c:v>4569345.25</c:v>
                </c:pt>
                <c:pt idx="4">
                  <c:v>6470698.9500000011</c:v>
                </c:pt>
                <c:pt idx="5">
                  <c:v>6113452.5999999996</c:v>
                </c:pt>
              </c:numCache>
            </c:numRef>
          </c:val>
          <c:extLst>
            <c:ext xmlns:c16="http://schemas.microsoft.com/office/drawing/2014/chart" uri="{C3380CC4-5D6E-409C-BE32-E72D297353CC}">
              <c16:uniqueId val="{00000000-6E9D-48E2-BF4F-D039106B645B}"/>
            </c:ext>
          </c:extLst>
        </c:ser>
        <c:dLbls>
          <c:showLegendKey val="0"/>
          <c:showVal val="1"/>
          <c:showCatName val="0"/>
          <c:showSerName val="0"/>
          <c:showPercent val="0"/>
          <c:showBubbleSize val="0"/>
        </c:dLbls>
        <c:gapWidth val="90"/>
        <c:overlap val="100"/>
        <c:axId val="515534960"/>
        <c:axId val="515535440"/>
      </c:barChart>
      <c:barChart>
        <c:barDir val="col"/>
        <c:grouping val="stacked"/>
        <c:varyColors val="0"/>
        <c:ser>
          <c:idx val="1"/>
          <c:order val="1"/>
          <c:tx>
            <c:strRef>
              <c:f>'Pivot '!$W$3</c:f>
              <c:strCache>
                <c:ptCount val="1"/>
                <c:pt idx="0">
                  <c:v>Sum of Quantity Sold</c:v>
                </c:pt>
              </c:strCache>
            </c:strRef>
          </c:tx>
          <c:spPr>
            <a:solidFill>
              <a:schemeClr val="tx1">
                <a:lumMod val="50000"/>
                <a:lumOff val="50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6E9D-48E2-BF4F-D039106B645B}"/>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4-6E9D-48E2-BF4F-D039106B645B}"/>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6-6E9D-48E2-BF4F-D039106B645B}"/>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8-6E9D-48E2-BF4F-D039106B645B}"/>
              </c:ext>
            </c:extLst>
          </c:dPt>
          <c:dPt>
            <c:idx val="4"/>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A-6E9D-48E2-BF4F-D039106B645B}"/>
              </c:ext>
            </c:extLst>
          </c:dPt>
          <c:dPt>
            <c:idx val="5"/>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C-6E9D-48E2-BF4F-D039106B645B}"/>
              </c:ext>
            </c:extLst>
          </c:dPt>
          <c:dLbls>
            <c:dLbl>
              <c:idx val="0"/>
              <c:layout>
                <c:manualLayout>
                  <c:x val="7.0228680065782707E-3"/>
                  <c:y val="-0.358673900541073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9D-48E2-BF4F-D039106B645B}"/>
                </c:ext>
              </c:extLst>
            </c:dLbl>
            <c:dLbl>
              <c:idx val="1"/>
              <c:layout>
                <c:manualLayout>
                  <c:x val="3.2187773194247775E-17"/>
                  <c:y val="-0.30277666928791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9D-48E2-BF4F-D039106B645B}"/>
                </c:ext>
              </c:extLst>
            </c:dLbl>
            <c:dLbl>
              <c:idx val="2"/>
              <c:layout>
                <c:manualLayout>
                  <c:x val="0"/>
                  <c:y val="-0.32140907970563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9D-48E2-BF4F-D039106B645B}"/>
                </c:ext>
              </c:extLst>
            </c:dLbl>
            <c:dLbl>
              <c:idx val="3"/>
              <c:layout>
                <c:manualLayout>
                  <c:x val="6.437554638849555E-17"/>
                  <c:y val="-0.28414425887020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9D-48E2-BF4F-D039106B645B}"/>
                </c:ext>
              </c:extLst>
            </c:dLbl>
            <c:dLbl>
              <c:idx val="4"/>
              <c:layout>
                <c:manualLayout>
                  <c:x val="1.0534302009867406E-2"/>
                  <c:y val="-0.42854543960751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9D-48E2-BF4F-D039106B645B}"/>
                </c:ext>
              </c:extLst>
            </c:dLbl>
            <c:dLbl>
              <c:idx val="5"/>
              <c:layout>
                <c:manualLayout>
                  <c:x val="3.5114340032891354E-3"/>
                  <c:y val="-0.35401579793664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E9D-48E2-BF4F-D039106B64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'!$U$4:$U$10</c:f>
              <c:strCache>
                <c:ptCount val="6"/>
                <c:pt idx="0">
                  <c:v>Headphones</c:v>
                </c:pt>
                <c:pt idx="1">
                  <c:v>Laptop</c:v>
                </c:pt>
                <c:pt idx="2">
                  <c:v>Mobile</c:v>
                </c:pt>
                <c:pt idx="3">
                  <c:v>Rice</c:v>
                </c:pt>
                <c:pt idx="4">
                  <c:v>Shirt</c:v>
                </c:pt>
                <c:pt idx="5">
                  <c:v>Shoes</c:v>
                </c:pt>
              </c:strCache>
            </c:strRef>
          </c:cat>
          <c:val>
            <c:numRef>
              <c:f>'Pivot '!$W$4:$W$10</c:f>
              <c:numCache>
                <c:formatCode>0.00%</c:formatCode>
                <c:ptCount val="6"/>
                <c:pt idx="0">
                  <c:v>0.16726233023588277</c:v>
                </c:pt>
                <c:pt idx="1">
                  <c:v>0.15511079342387418</c:v>
                </c:pt>
                <c:pt idx="2">
                  <c:v>0.15868477483917084</c:v>
                </c:pt>
                <c:pt idx="3">
                  <c:v>0.15939957112223016</c:v>
                </c:pt>
                <c:pt idx="4">
                  <c:v>0.17083631165117941</c:v>
                </c:pt>
                <c:pt idx="5">
                  <c:v>0.18870621872766261</c:v>
                </c:pt>
              </c:numCache>
            </c:numRef>
          </c:val>
          <c:extLst>
            <c:ext xmlns:c16="http://schemas.microsoft.com/office/drawing/2014/chart" uri="{C3380CC4-5D6E-409C-BE32-E72D297353CC}">
              <c16:uniqueId val="{0000000D-6E9D-48E2-BF4F-D039106B645B}"/>
            </c:ext>
          </c:extLst>
        </c:ser>
        <c:dLbls>
          <c:showLegendKey val="0"/>
          <c:showVal val="1"/>
          <c:showCatName val="0"/>
          <c:showSerName val="0"/>
          <c:showPercent val="0"/>
          <c:showBubbleSize val="0"/>
        </c:dLbls>
        <c:gapWidth val="380"/>
        <c:overlap val="100"/>
        <c:axId val="266777504"/>
        <c:axId val="360228352"/>
      </c:barChart>
      <c:catAx>
        <c:axId val="5155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35440"/>
        <c:crosses val="autoZero"/>
        <c:auto val="1"/>
        <c:lblAlgn val="ctr"/>
        <c:lblOffset val="100"/>
        <c:noMultiLvlLbl val="0"/>
      </c:catAx>
      <c:valAx>
        <c:axId val="51553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34960"/>
        <c:crosses val="autoZero"/>
        <c:crossBetween val="between"/>
      </c:valAx>
      <c:valAx>
        <c:axId val="3602283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77504"/>
        <c:crosses val="max"/>
        <c:crossBetween val="between"/>
      </c:valAx>
      <c:catAx>
        <c:axId val="266777504"/>
        <c:scaling>
          <c:orientation val="minMax"/>
        </c:scaling>
        <c:delete val="1"/>
        <c:axPos val="b"/>
        <c:numFmt formatCode="General" sourceLinked="1"/>
        <c:majorTickMark val="out"/>
        <c:minorTickMark val="none"/>
        <c:tickLblPos val="nextTo"/>
        <c:crossAx val="360228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[Sales_Dasboard_Project.xlsx]Pivot !Payment Mode</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1482365364750838E-2"/>
          <c:y val="3.9457225717383047E-2"/>
          <c:w val="0.52173345960680628"/>
          <c:h val="0.922876573980561"/>
        </c:manualLayout>
      </c:layout>
      <c:doughnutChart>
        <c:varyColors val="1"/>
        <c:ser>
          <c:idx val="0"/>
          <c:order val="0"/>
          <c:tx>
            <c:strRef>
              <c:f>'Pivot '!$AA$3</c:f>
              <c:strCache>
                <c:ptCount val="1"/>
                <c:pt idx="0">
                  <c:v>Total</c:v>
                </c:pt>
              </c:strCache>
            </c:strRef>
          </c:tx>
          <c:explosion val="1"/>
          <c:dPt>
            <c:idx val="0"/>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456-454D-BEDD-5C1FBFC9FCB6}"/>
              </c:ext>
            </c:extLst>
          </c:dPt>
          <c:dPt>
            <c:idx val="1"/>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456-454D-BEDD-5C1FBFC9FCB6}"/>
              </c:ext>
            </c:extLst>
          </c:dPt>
          <c:dPt>
            <c:idx val="2"/>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456-454D-BEDD-5C1FBFC9FCB6}"/>
              </c:ext>
            </c:extLst>
          </c:dPt>
          <c:dPt>
            <c:idx val="3"/>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456-454D-BEDD-5C1FBFC9FCB6}"/>
              </c:ext>
            </c:extLst>
          </c:dPt>
          <c:dLbls>
            <c:spPr>
              <a:solidFill>
                <a:schemeClr val="accent3"/>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'!$Z$4:$Z$8</c:f>
              <c:strCache>
                <c:ptCount val="4"/>
                <c:pt idx="0">
                  <c:v>Cash</c:v>
                </c:pt>
                <c:pt idx="1">
                  <c:v>Credit Card</c:v>
                </c:pt>
                <c:pt idx="2">
                  <c:v>Debit Card</c:v>
                </c:pt>
                <c:pt idx="3">
                  <c:v>UPI</c:v>
                </c:pt>
              </c:strCache>
            </c:strRef>
          </c:cat>
          <c:val>
            <c:numRef>
              <c:f>'Pivot '!$AA$4:$AA$8</c:f>
              <c:numCache>
                <c:formatCode>0.00%</c:formatCode>
                <c:ptCount val="4"/>
                <c:pt idx="0">
                  <c:v>0.27571972461514233</c:v>
                </c:pt>
                <c:pt idx="1">
                  <c:v>0.29182230824819139</c:v>
                </c:pt>
                <c:pt idx="2">
                  <c:v>0.18401536726789347</c:v>
                </c:pt>
                <c:pt idx="3">
                  <c:v>0.24844259986877279</c:v>
                </c:pt>
              </c:numCache>
            </c:numRef>
          </c:val>
          <c:extLst>
            <c:ext xmlns:c16="http://schemas.microsoft.com/office/drawing/2014/chart" uri="{C3380CC4-5D6E-409C-BE32-E72D297353CC}">
              <c16:uniqueId val="{00000008-6456-454D-BEDD-5C1FBFC9FC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65184140666414"/>
          <c:y val="7.4170504137055601E-2"/>
          <c:w val="0.23360994068359489"/>
          <c:h val="0.87519341777312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!Date</c:name>
    <c:fmtId val="6"/>
  </c:pivotSource>
  <c:chart>
    <c:title>
      <c:tx>
        <c:strRef>
          <c:f>'Pivot '!$AL$16</c:f>
          <c:strCache>
            <c:ptCount val="1"/>
            <c:pt idx="0">
              <c:v>63251462.2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'!$AL$16</c:f>
              <c:strCache>
                <c:ptCount val="1"/>
                <c:pt idx="0">
                  <c:v>Total</c:v>
                </c:pt>
              </c:strCache>
            </c:strRef>
          </c:tx>
          <c:spPr>
            <a:solidFill>
              <a:schemeClr val="accent1"/>
            </a:solidFill>
            <a:ln>
              <a:noFill/>
            </a:ln>
            <a:effectLst/>
          </c:spPr>
          <c:invertIfNegative val="0"/>
          <c:dLbls>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'!$AL$16</c:f>
              <c:strCache>
                <c:ptCount val="6"/>
                <c:pt idx="0">
                  <c:v>Jan</c:v>
                </c:pt>
                <c:pt idx="1">
                  <c:v>Feb</c:v>
                </c:pt>
                <c:pt idx="2">
                  <c:v>Mar</c:v>
                </c:pt>
                <c:pt idx="3">
                  <c:v>Apr</c:v>
                </c:pt>
                <c:pt idx="4">
                  <c:v>May</c:v>
                </c:pt>
                <c:pt idx="5">
                  <c:v>Jun</c:v>
                </c:pt>
              </c:strCache>
            </c:strRef>
          </c:cat>
          <c:val>
            <c:numRef>
              <c:f>'Pivot '!$AL$16</c:f>
              <c:numCache>
                <c:formatCode>0.00%</c:formatCode>
                <c:ptCount val="6"/>
                <c:pt idx="0">
                  <c:v>0.18114279456461799</c:v>
                </c:pt>
                <c:pt idx="1">
                  <c:v>0.12540172134982674</c:v>
                </c:pt>
                <c:pt idx="2">
                  <c:v>0.17161048375851959</c:v>
                </c:pt>
                <c:pt idx="3">
                  <c:v>0.15266745648552077</c:v>
                </c:pt>
                <c:pt idx="4">
                  <c:v>0.19268018563194195</c:v>
                </c:pt>
                <c:pt idx="5">
                  <c:v>0.17649735820957302</c:v>
                </c:pt>
              </c:numCache>
            </c:numRef>
          </c:val>
          <c:extLst>
            <c:ext xmlns:c16="http://schemas.microsoft.com/office/drawing/2014/chart" uri="{C3380CC4-5D6E-409C-BE32-E72D297353CC}">
              <c16:uniqueId val="{00000000-9B0F-4374-96D5-E80CF06541BB}"/>
            </c:ext>
          </c:extLst>
        </c:ser>
        <c:dLbls>
          <c:dLblPos val="ctr"/>
          <c:showLegendKey val="0"/>
          <c:showVal val="1"/>
          <c:showCatName val="0"/>
          <c:showSerName val="0"/>
          <c:showPercent val="0"/>
          <c:showBubbleSize val="0"/>
        </c:dLbls>
        <c:gapWidth val="182"/>
        <c:overlap val="100"/>
        <c:axId val="561330144"/>
        <c:axId val="561330624"/>
      </c:barChart>
      <c:catAx>
        <c:axId val="56133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624"/>
        <c:crosses val="autoZero"/>
        <c:auto val="1"/>
        <c:lblAlgn val="ctr"/>
        <c:lblOffset val="100"/>
        <c:noMultiLvlLbl val="0"/>
      </c:catAx>
      <c:valAx>
        <c:axId val="56133062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[Sales_Dasboard_Project.xlsx]Pivot !Date</c:name>
    <c:fmtId val="8"/>
  </c:pivotSource>
  <c:chart>
    <c:title>
      <c:tx>
        <c:strRef>
          <c:f>'Pivot '!$AL$16</c:f>
          <c:strCache>
            <c:ptCount val="1"/>
            <c:pt idx="0">
              <c:v>63251462.2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'!$AL$16</c:f>
              <c:strCache>
                <c:ptCount val="1"/>
                <c:pt idx="0">
                  <c:v>Total</c:v>
                </c:pt>
              </c:strCache>
            </c:strRef>
          </c:tx>
          <c:spPr>
            <a:solidFill>
              <a:schemeClr val="accent1"/>
            </a:solidFill>
            <a:ln>
              <a:noFill/>
            </a:ln>
            <a:effectLst/>
          </c:spPr>
          <c:invertIfNegative val="0"/>
          <c:dLbls>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'!$AL$16</c:f>
              <c:strCache>
                <c:ptCount val="6"/>
                <c:pt idx="0">
                  <c:v>Jan</c:v>
                </c:pt>
                <c:pt idx="1">
                  <c:v>Feb</c:v>
                </c:pt>
                <c:pt idx="2">
                  <c:v>Mar</c:v>
                </c:pt>
                <c:pt idx="3">
                  <c:v>Apr</c:v>
                </c:pt>
                <c:pt idx="4">
                  <c:v>May</c:v>
                </c:pt>
                <c:pt idx="5">
                  <c:v>Jun</c:v>
                </c:pt>
              </c:strCache>
            </c:strRef>
          </c:cat>
          <c:val>
            <c:numRef>
              <c:f>'Pivot '!$AL$16</c:f>
              <c:numCache>
                <c:formatCode>0.00%</c:formatCode>
                <c:ptCount val="6"/>
                <c:pt idx="0">
                  <c:v>0.18114279456461799</c:v>
                </c:pt>
                <c:pt idx="1">
                  <c:v>0.12540172134982674</c:v>
                </c:pt>
                <c:pt idx="2">
                  <c:v>0.17161048375851959</c:v>
                </c:pt>
                <c:pt idx="3">
                  <c:v>0.15266745648552077</c:v>
                </c:pt>
                <c:pt idx="4">
                  <c:v>0.19268018563194195</c:v>
                </c:pt>
                <c:pt idx="5">
                  <c:v>0.17649735820957302</c:v>
                </c:pt>
              </c:numCache>
            </c:numRef>
          </c:val>
          <c:extLst>
            <c:ext xmlns:c16="http://schemas.microsoft.com/office/drawing/2014/chart" uri="{C3380CC4-5D6E-409C-BE32-E72D297353CC}">
              <c16:uniqueId val="{00000000-27B5-49D3-8241-742950594435}"/>
            </c:ext>
          </c:extLst>
        </c:ser>
        <c:dLbls>
          <c:dLblPos val="ctr"/>
          <c:showLegendKey val="0"/>
          <c:showVal val="1"/>
          <c:showCatName val="0"/>
          <c:showSerName val="0"/>
          <c:showPercent val="0"/>
          <c:showBubbleSize val="0"/>
        </c:dLbls>
        <c:gapWidth val="182"/>
        <c:overlap val="100"/>
        <c:axId val="561330144"/>
        <c:axId val="561330624"/>
      </c:barChart>
      <c:catAx>
        <c:axId val="56133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624"/>
        <c:crosses val="autoZero"/>
        <c:auto val="1"/>
        <c:lblAlgn val="ctr"/>
        <c:lblOffset val="100"/>
        <c:noMultiLvlLbl val="0"/>
      </c:catAx>
      <c:valAx>
        <c:axId val="56133062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B6A90A60-6A1C-44A2-A644-53AB5BC9578D}">
          <cx:tx>
            <cx:txData>
              <cx:f>_xlchart.v1.2</cx:f>
              <cx:v>Sum of Net Sales</cx:v>
            </cx:txData>
          </cx:tx>
          <cx:dataLabels pos="ctr">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6E7F4D4F-570C-45A3-A55C-C13EB061359C}">
          <cx:tx>
            <cx:txData>
              <cx:f>_xlchart.v1.4</cx:f>
              <cx:v>Sum of Net Sales</cx:v>
            </cx:txData>
          </cx:tx>
          <cx:spPr>
            <a:solidFill>
              <a:schemeClr val="tx1">
                <a:lumMod val="95000"/>
                <a:lumOff val="5000"/>
              </a:schemeClr>
            </a:solidFill>
          </cx:spPr>
          <cx:dataPt idx="0">
            <cx:spPr>
              <a:solidFill>
                <a:srgbClr val="00B050"/>
              </a:solidFill>
            </cx:spPr>
          </cx:dataPt>
          <cx:dataPt idx="2">
            <cx:spPr>
              <a:solidFill>
                <a:srgbClr val="C00000"/>
              </a:solidFill>
            </cx:spPr>
          </cx:dataPt>
          <cx:dataLabels pos="inEnd">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sunburst" uniqueId="{B6A90A60-6A1C-44A2-A644-53AB5BC9578D}">
          <cx:tx>
            <cx:txData>
              <cx:f>_xlchart.v1.8</cx:f>
              <cx:v>Sum of Net Sales</cx:v>
            </cx:txData>
          </cx:tx>
          <cx:dataLabels pos="ctr">
            <cx:spPr>
              <a:solidFill>
                <a:schemeClr val="accent3"/>
              </a:solidFill>
            </cx:spPr>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6E7F4D4F-570C-45A3-A55C-C13EB061359C}">
          <cx:tx>
            <cx:txData>
              <cx:f>_xlchart.v1.10</cx:f>
              <cx:v>Sum of Net Sales</cx:v>
            </cx:txData>
          </cx:tx>
          <cx:spPr>
            <a:solidFill>
              <a:schemeClr val="tx1">
                <a:lumMod val="95000"/>
                <a:lumOff val="5000"/>
              </a:schemeClr>
            </a:solidFill>
          </cx:spPr>
          <cx:dataPt idx="0">
            <cx:spPr>
              <a:solidFill>
                <a:srgbClr val="00B050"/>
              </a:solidFill>
            </cx:spPr>
          </cx:dataPt>
          <cx:dataPt idx="2">
            <cx:spPr>
              <a:solidFill>
                <a:srgbClr val="C00000"/>
              </a:solidFill>
            </cx:spPr>
          </cx:dataPt>
          <cx:dataLabels pos="in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42</xdr:row>
      <xdr:rowOff>179539</xdr:rowOff>
    </xdr:from>
    <xdr:to>
      <xdr:col>2</xdr:col>
      <xdr:colOff>84353</xdr:colOff>
      <xdr:row>50</xdr:row>
      <xdr:rowOff>95539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87529C0-5475-A832-931A-5046FDC8A4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180539"/>
              <a:ext cx="1846478"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290165</xdr:colOff>
      <xdr:row>63</xdr:row>
      <xdr:rowOff>38100</xdr:rowOff>
    </xdr:from>
    <xdr:to>
      <xdr:col>4</xdr:col>
      <xdr:colOff>157053</xdr:colOff>
      <xdr:row>69</xdr:row>
      <xdr:rowOff>119100</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F65DA99D-EDE2-A481-6697-EAEB3AC8D6B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052290" y="12039600"/>
              <a:ext cx="1837396"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60</xdr:row>
      <xdr:rowOff>48785</xdr:rowOff>
    </xdr:from>
    <xdr:to>
      <xdr:col>2</xdr:col>
      <xdr:colOff>79917</xdr:colOff>
      <xdr:row>66</xdr:row>
      <xdr:rowOff>161140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60E0B3DA-EE34-7E42-9636-277296CC686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11478785"/>
              <a:ext cx="1842042" cy="1255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418513</xdr:colOff>
      <xdr:row>51</xdr:row>
      <xdr:rowOff>137531</xdr:rowOff>
    </xdr:from>
    <xdr:to>
      <xdr:col>4</xdr:col>
      <xdr:colOff>284172</xdr:colOff>
      <xdr:row>62</xdr:row>
      <xdr:rowOff>166031</xdr:rowOff>
    </xdr:to>
    <mc:AlternateContent xmlns:mc="http://schemas.openxmlformats.org/markup-compatibility/2006" xmlns:a14="http://schemas.microsoft.com/office/drawing/2010/main">
      <mc:Choice Requires="a14">
        <xdr:graphicFrame macro="">
          <xdr:nvGraphicFramePr>
            <xdr:cNvPr id="6" name="Product Sub-Category">
              <a:extLst>
                <a:ext uri="{FF2B5EF4-FFF2-40B4-BE49-F238E27FC236}">
                  <a16:creationId xmlns:a16="http://schemas.microsoft.com/office/drawing/2014/main" id="{3EDC7C03-5154-B668-B075-55B44BC513EE}"/>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088481" y="9600680"/>
              <a:ext cx="1832510" cy="206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260427</xdr:colOff>
      <xdr:row>42</xdr:row>
      <xdr:rowOff>126148</xdr:rowOff>
    </xdr:from>
    <xdr:to>
      <xdr:col>4</xdr:col>
      <xdr:colOff>123365</xdr:colOff>
      <xdr:row>50</xdr:row>
      <xdr:rowOff>114148</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9207F026-523B-C379-D45B-393F334E1AE1}"/>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022552" y="8127148"/>
              <a:ext cx="1833446" cy="15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70857</xdr:rowOff>
    </xdr:from>
    <xdr:to>
      <xdr:col>2</xdr:col>
      <xdr:colOff>70392</xdr:colOff>
      <xdr:row>57</xdr:row>
      <xdr:rowOff>151856</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4004171A-49FE-0BB7-53D9-2BC45B9A9073}"/>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9786357"/>
              <a:ext cx="1832517" cy="12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398579</xdr:colOff>
      <xdr:row>43</xdr:row>
      <xdr:rowOff>168972</xdr:rowOff>
    </xdr:from>
    <xdr:to>
      <xdr:col>6</xdr:col>
      <xdr:colOff>245217</xdr:colOff>
      <xdr:row>57</xdr:row>
      <xdr:rowOff>30743</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F67D4B59-1121-2CB0-8DFA-BDBE44EA38A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322879" y="8360472"/>
              <a:ext cx="1834530" cy="2528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17928</xdr:colOff>
      <xdr:row>16</xdr:row>
      <xdr:rowOff>180262</xdr:rowOff>
    </xdr:from>
    <xdr:to>
      <xdr:col>40</xdr:col>
      <xdr:colOff>359313</xdr:colOff>
      <xdr:row>24</xdr:row>
      <xdr:rowOff>32809</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843000AD-C215-B000-C532-CDA52DE7DF4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507831" y="3149093"/>
              <a:ext cx="3372066" cy="13369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9525</xdr:colOff>
      <xdr:row>4</xdr:row>
      <xdr:rowOff>19051</xdr:rowOff>
    </xdr:from>
    <xdr:to>
      <xdr:col>0</xdr:col>
      <xdr:colOff>1047750</xdr:colOff>
      <xdr:row>5</xdr:row>
      <xdr:rowOff>171451</xdr:rowOff>
    </xdr:to>
    <xdr:sp macro="" textlink="$A$2">
      <xdr:nvSpPr>
        <xdr:cNvPr id="10" name="Rectangle 9">
          <a:extLst>
            <a:ext uri="{FF2B5EF4-FFF2-40B4-BE49-F238E27FC236}">
              <a16:creationId xmlns:a16="http://schemas.microsoft.com/office/drawing/2014/main" id="{D9A4AB5C-0C67-6A31-1262-66B258FA5C6F}"/>
            </a:ext>
          </a:extLst>
        </xdr:cNvPr>
        <xdr:cNvSpPr/>
      </xdr:nvSpPr>
      <xdr:spPr>
        <a:xfrm>
          <a:off x="9525" y="781051"/>
          <a:ext cx="1038225" cy="342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DB8F0402-4D85-487B-A57C-A676D058533E}" type="TxLink">
            <a:rPr lang="en-US" sz="1100" b="0" i="0" u="none" strike="noStrike">
              <a:solidFill>
                <a:srgbClr val="000000"/>
              </a:solidFill>
              <a:latin typeface="Calibri"/>
              <a:ea typeface="Calibri"/>
              <a:cs typeface="Calibri"/>
            </a:rPr>
            <a:pPr algn="ctr"/>
            <a:t>36062458.00</a:t>
          </a:fld>
          <a:endParaRPr lang="en-IN" sz="1100"/>
        </a:p>
      </xdr:txBody>
    </xdr:sp>
    <xdr:clientData/>
  </xdr:twoCellAnchor>
  <xdr:twoCellAnchor>
    <xdr:from>
      <xdr:col>2</xdr:col>
      <xdr:colOff>514350</xdr:colOff>
      <xdr:row>4</xdr:row>
      <xdr:rowOff>19051</xdr:rowOff>
    </xdr:from>
    <xdr:to>
      <xdr:col>3</xdr:col>
      <xdr:colOff>0</xdr:colOff>
      <xdr:row>5</xdr:row>
      <xdr:rowOff>171451</xdr:rowOff>
    </xdr:to>
    <xdr:sp macro="" textlink="$C$2">
      <xdr:nvSpPr>
        <xdr:cNvPr id="11" name="Rectangle 10">
          <a:extLst>
            <a:ext uri="{FF2B5EF4-FFF2-40B4-BE49-F238E27FC236}">
              <a16:creationId xmlns:a16="http://schemas.microsoft.com/office/drawing/2014/main" id="{95ED5F30-EDD2-F628-4C62-3570BDCFFF67}"/>
            </a:ext>
          </a:extLst>
        </xdr:cNvPr>
        <xdr:cNvSpPr/>
      </xdr:nvSpPr>
      <xdr:spPr>
        <a:xfrm>
          <a:off x="2276475" y="781051"/>
          <a:ext cx="1038225" cy="342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7ADBFD6-9C42-40FE-A025-57077EE3A608}" type="TxLink">
            <a:rPr lang="en-US" sz="1100" b="0" i="0" u="none" strike="noStrike">
              <a:solidFill>
                <a:srgbClr val="000000"/>
              </a:solidFill>
              <a:latin typeface="Calibri"/>
              <a:ea typeface="Calibri"/>
              <a:cs typeface="Calibri"/>
            </a:rPr>
            <a:pPr algn="ctr"/>
            <a:t>3730360.75</a:t>
          </a:fld>
          <a:endParaRPr lang="en-IN" sz="1100"/>
        </a:p>
      </xdr:txBody>
    </xdr:sp>
    <xdr:clientData/>
  </xdr:twoCellAnchor>
  <xdr:twoCellAnchor>
    <xdr:from>
      <xdr:col>2</xdr:col>
      <xdr:colOff>504825</xdr:colOff>
      <xdr:row>9</xdr:row>
      <xdr:rowOff>28576</xdr:rowOff>
    </xdr:from>
    <xdr:to>
      <xdr:col>2</xdr:col>
      <xdr:colOff>1543050</xdr:colOff>
      <xdr:row>10</xdr:row>
      <xdr:rowOff>180976</xdr:rowOff>
    </xdr:to>
    <xdr:sp macro="" textlink="$C$7">
      <xdr:nvSpPr>
        <xdr:cNvPr id="12" name="Rectangle 11">
          <a:extLst>
            <a:ext uri="{FF2B5EF4-FFF2-40B4-BE49-F238E27FC236}">
              <a16:creationId xmlns:a16="http://schemas.microsoft.com/office/drawing/2014/main" id="{9B7DD8EF-814D-5F07-F0D4-3F10CC42D6DF}"/>
            </a:ext>
          </a:extLst>
        </xdr:cNvPr>
        <xdr:cNvSpPr/>
      </xdr:nvSpPr>
      <xdr:spPr>
        <a:xfrm>
          <a:off x="2266950" y="1743076"/>
          <a:ext cx="1038225" cy="342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09473F3-4FFB-4094-AA0B-C5AD8D65B9CD}" type="TxLink">
            <a:rPr lang="en-US" sz="1100" b="0" i="0" u="none" strike="noStrike">
              <a:solidFill>
                <a:srgbClr val="000000"/>
              </a:solidFill>
              <a:latin typeface="Calibri"/>
              <a:ea typeface="Calibri"/>
              <a:cs typeface="Calibri"/>
            </a:rPr>
            <a:pPr algn="ctr"/>
            <a:t>5762876.59</a:t>
          </a:fld>
          <a:endParaRPr lang="en-IN" sz="1100"/>
        </a:p>
      </xdr:txBody>
    </xdr:sp>
    <xdr:clientData/>
  </xdr:twoCellAnchor>
  <xdr:twoCellAnchor>
    <xdr:from>
      <xdr:col>0</xdr:col>
      <xdr:colOff>9525</xdr:colOff>
      <xdr:row>9</xdr:row>
      <xdr:rowOff>28576</xdr:rowOff>
    </xdr:from>
    <xdr:to>
      <xdr:col>0</xdr:col>
      <xdr:colOff>1047750</xdr:colOff>
      <xdr:row>10</xdr:row>
      <xdr:rowOff>180976</xdr:rowOff>
    </xdr:to>
    <xdr:sp macro="" textlink="$A$7">
      <xdr:nvSpPr>
        <xdr:cNvPr id="13" name="Rectangle 12">
          <a:extLst>
            <a:ext uri="{FF2B5EF4-FFF2-40B4-BE49-F238E27FC236}">
              <a16:creationId xmlns:a16="http://schemas.microsoft.com/office/drawing/2014/main" id="{CEC447F8-43A4-3824-20FD-C70F43E60747}"/>
            </a:ext>
          </a:extLst>
        </xdr:cNvPr>
        <xdr:cNvSpPr/>
      </xdr:nvSpPr>
      <xdr:spPr>
        <a:xfrm>
          <a:off x="9525" y="1743076"/>
          <a:ext cx="1038225" cy="342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B4466F9-B2B1-40BE-B920-EF914C161AE0}" type="TxLink">
            <a:rPr lang="en-US" sz="1100" b="0" i="0" u="none" strike="noStrike">
              <a:solidFill>
                <a:srgbClr val="000000"/>
              </a:solidFill>
              <a:latin typeface="Calibri"/>
              <a:ea typeface="Calibri"/>
              <a:cs typeface="Calibri"/>
            </a:rPr>
            <a:pPr algn="ctr"/>
            <a:t>32332097.25</a:t>
          </a:fld>
          <a:endParaRPr lang="en-IN" sz="1100"/>
        </a:p>
      </xdr:txBody>
    </xdr:sp>
    <xdr:clientData/>
  </xdr:twoCellAnchor>
  <xdr:twoCellAnchor>
    <xdr:from>
      <xdr:col>3</xdr:col>
      <xdr:colOff>600075</xdr:colOff>
      <xdr:row>16</xdr:row>
      <xdr:rowOff>33338</xdr:rowOff>
    </xdr:from>
    <xdr:to>
      <xdr:col>7</xdr:col>
      <xdr:colOff>19050</xdr:colOff>
      <xdr:row>27</xdr:row>
      <xdr:rowOff>28576</xdr:rowOff>
    </xdr:to>
    <xdr:graphicFrame macro="">
      <xdr:nvGraphicFramePr>
        <xdr:cNvPr id="14" name="Chart 13">
          <a:extLst>
            <a:ext uri="{FF2B5EF4-FFF2-40B4-BE49-F238E27FC236}">
              <a16:creationId xmlns:a16="http://schemas.microsoft.com/office/drawing/2014/main" id="{59006C9F-29A8-AD6F-9B94-83ACE9A61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42182</xdr:colOff>
      <xdr:row>19</xdr:row>
      <xdr:rowOff>137185</xdr:rowOff>
    </xdr:from>
    <xdr:to>
      <xdr:col>16</xdr:col>
      <xdr:colOff>811232</xdr:colOff>
      <xdr:row>33</xdr:row>
      <xdr:rowOff>51460</xdr:rowOff>
    </xdr:to>
    <xdr:graphicFrame macro="">
      <xdr:nvGraphicFramePr>
        <xdr:cNvPr id="16" name="Chart 15">
          <a:extLst>
            <a:ext uri="{FF2B5EF4-FFF2-40B4-BE49-F238E27FC236}">
              <a16:creationId xmlns:a16="http://schemas.microsoft.com/office/drawing/2014/main" id="{89C7608A-52DA-E8C9-C256-A6F38AE22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46636</xdr:colOff>
      <xdr:row>7</xdr:row>
      <xdr:rowOff>144669</xdr:rowOff>
    </xdr:from>
    <xdr:to>
      <xdr:col>15</xdr:col>
      <xdr:colOff>37111</xdr:colOff>
      <xdr:row>18</xdr:row>
      <xdr:rowOff>139906</xdr:rowOff>
    </xdr:to>
    <xdr:graphicFrame macro="">
      <xdr:nvGraphicFramePr>
        <xdr:cNvPr id="17" name="Chart 16">
          <a:extLst>
            <a:ext uri="{FF2B5EF4-FFF2-40B4-BE49-F238E27FC236}">
              <a16:creationId xmlns:a16="http://schemas.microsoft.com/office/drawing/2014/main" id="{F7F4F68F-5ECA-B49C-659D-527BA3497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xdr:colOff>
      <xdr:row>13</xdr:row>
      <xdr:rowOff>42862</xdr:rowOff>
    </xdr:from>
    <xdr:to>
      <xdr:col>19</xdr:col>
      <xdr:colOff>457200</xdr:colOff>
      <xdr:row>27</xdr:row>
      <xdr:rowOff>38100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AA45579B-D560-8632-3BBD-8E705F316F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640050" y="2519362"/>
              <a:ext cx="4105275" cy="26622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9527</xdr:colOff>
      <xdr:row>10</xdr:row>
      <xdr:rowOff>109537</xdr:rowOff>
    </xdr:from>
    <xdr:to>
      <xdr:col>24</xdr:col>
      <xdr:colOff>257175</xdr:colOff>
      <xdr:row>23</xdr:row>
      <xdr:rowOff>76200</xdr:rowOff>
    </xdr:to>
    <xdr:graphicFrame macro="">
      <xdr:nvGraphicFramePr>
        <xdr:cNvPr id="19" name="Chart 18">
          <a:extLst>
            <a:ext uri="{FF2B5EF4-FFF2-40B4-BE49-F238E27FC236}">
              <a16:creationId xmlns:a16="http://schemas.microsoft.com/office/drawing/2014/main" id="{82C81AE5-AF55-B657-A535-2A448928E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9526</xdr:colOff>
      <xdr:row>8</xdr:row>
      <xdr:rowOff>119063</xdr:rowOff>
    </xdr:from>
    <xdr:to>
      <xdr:col>27</xdr:col>
      <xdr:colOff>323850</xdr:colOff>
      <xdr:row>17</xdr:row>
      <xdr:rowOff>1</xdr:rowOff>
    </xdr:to>
    <xdr:graphicFrame macro="">
      <xdr:nvGraphicFramePr>
        <xdr:cNvPr id="20" name="Chart 19">
          <a:extLst>
            <a:ext uri="{FF2B5EF4-FFF2-40B4-BE49-F238E27FC236}">
              <a16:creationId xmlns:a16="http://schemas.microsoft.com/office/drawing/2014/main" id="{C343DEDC-D7A8-395A-C40D-92DFFD3E5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457695</xdr:colOff>
      <xdr:row>14</xdr:row>
      <xdr:rowOff>28638</xdr:rowOff>
    </xdr:from>
    <xdr:to>
      <xdr:col>30</xdr:col>
      <xdr:colOff>964994</xdr:colOff>
      <xdr:row>25</xdr:row>
      <xdr:rowOff>42926</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09D13266-53AE-EB95-821E-DFA3B4396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535909" y="2626365"/>
              <a:ext cx="3241098" cy="2055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1048616</xdr:colOff>
      <xdr:row>11</xdr:row>
      <xdr:rowOff>2040</xdr:rowOff>
    </xdr:from>
    <xdr:to>
      <xdr:col>35</xdr:col>
      <xdr:colOff>519546</xdr:colOff>
      <xdr:row>25</xdr:row>
      <xdr:rowOff>182829</xdr:rowOff>
    </xdr:to>
    <xdr:graphicFrame macro="">
      <xdr:nvGraphicFramePr>
        <xdr:cNvPr id="22" name="Chart 21">
          <a:extLst>
            <a:ext uri="{FF2B5EF4-FFF2-40B4-BE49-F238E27FC236}">
              <a16:creationId xmlns:a16="http://schemas.microsoft.com/office/drawing/2014/main" id="{9AC6A3BE-0ACF-B0DF-DA79-3D38B040D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7433</xdr:colOff>
      <xdr:row>0</xdr:row>
      <xdr:rowOff>9523</xdr:rowOff>
    </xdr:from>
    <xdr:to>
      <xdr:col>4</xdr:col>
      <xdr:colOff>592409</xdr:colOff>
      <xdr:row>3</xdr:row>
      <xdr:rowOff>58079</xdr:rowOff>
    </xdr:to>
    <xdr:sp macro="" textlink="">
      <xdr:nvSpPr>
        <xdr:cNvPr id="2" name="Rectangle 1">
          <a:extLst>
            <a:ext uri="{FF2B5EF4-FFF2-40B4-BE49-F238E27FC236}">
              <a16:creationId xmlns:a16="http://schemas.microsoft.com/office/drawing/2014/main" id="{1B5FA9F9-8B0F-2244-E7DA-7B45710E8CD0}"/>
            </a:ext>
          </a:extLst>
        </xdr:cNvPr>
        <xdr:cNvSpPr/>
      </xdr:nvSpPr>
      <xdr:spPr>
        <a:xfrm>
          <a:off x="7433" y="9523"/>
          <a:ext cx="3001074" cy="606117"/>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2000" b="1">
              <a:solidFill>
                <a:schemeClr val="tx1">
                  <a:lumMod val="85000"/>
                  <a:lumOff val="15000"/>
                </a:schemeClr>
              </a:solidFill>
              <a:latin typeface="Arial" panose="020B0604020202020204" pitchFamily="34" charset="0"/>
              <a:cs typeface="Arial" panose="020B0604020202020204" pitchFamily="34" charset="0"/>
            </a:rPr>
            <a:t>Sales Dashboard</a:t>
          </a:r>
        </a:p>
      </xdr:txBody>
    </xdr:sp>
    <xdr:clientData/>
  </xdr:twoCellAnchor>
  <xdr:twoCellAnchor editAs="oneCell">
    <xdr:from>
      <xdr:col>5</xdr:col>
      <xdr:colOff>58079</xdr:colOff>
      <xdr:row>0</xdr:row>
      <xdr:rowOff>0</xdr:rowOff>
    </xdr:from>
    <xdr:to>
      <xdr:col>12</xdr:col>
      <xdr:colOff>203276</xdr:colOff>
      <xdr:row>3</xdr:row>
      <xdr:rowOff>40500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94FCDCF1-2ADE-4AE8-88A5-CEA1342005A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078201" y="0"/>
              <a:ext cx="4373368" cy="5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xdr:colOff>
      <xdr:row>3</xdr:row>
      <xdr:rowOff>71886</xdr:rowOff>
    </xdr:from>
    <xdr:to>
      <xdr:col>4</xdr:col>
      <xdr:colOff>557562</xdr:colOff>
      <xdr:row>9</xdr:row>
      <xdr:rowOff>179918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438F4540-53E0-4858-A1E0-1C2353093F4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 y="629447"/>
              <a:ext cx="2973658" cy="12231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336858</xdr:colOff>
      <xdr:row>0</xdr:row>
      <xdr:rowOff>0</xdr:rowOff>
    </xdr:from>
    <xdr:to>
      <xdr:col>19</xdr:col>
      <xdr:colOff>275496</xdr:colOff>
      <xdr:row>3</xdr:row>
      <xdr:rowOff>40500</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15DADBDD-9268-4F0A-9866-B998382D6EC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7585151" y="0"/>
              <a:ext cx="4166808" cy="5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394938</xdr:colOff>
      <xdr:row>0</xdr:row>
      <xdr:rowOff>11907</xdr:rowOff>
    </xdr:from>
    <xdr:to>
      <xdr:col>24</xdr:col>
      <xdr:colOff>104543</xdr:colOff>
      <xdr:row>3</xdr:row>
      <xdr:rowOff>52407</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3B2F114E-0C75-4D94-A56E-7544B5C17DE2}"/>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1871401" y="11907"/>
              <a:ext cx="2729727" cy="5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95458</xdr:rowOff>
    </xdr:from>
    <xdr:to>
      <xdr:col>4</xdr:col>
      <xdr:colOff>580792</xdr:colOff>
      <xdr:row>27</xdr:row>
      <xdr:rowOff>182311</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C36837F6-9BD9-49BC-B857-03FD64335BC1}"/>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4184238"/>
              <a:ext cx="2996890" cy="1016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35931</xdr:rowOff>
    </xdr:from>
    <xdr:to>
      <xdr:col>4</xdr:col>
      <xdr:colOff>592408</xdr:colOff>
      <xdr:row>16</xdr:row>
      <xdr:rowOff>116931</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45485E21-97B6-454F-9C4A-AAB1D6841F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94468"/>
              <a:ext cx="3008506" cy="1196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176638</xdr:rowOff>
    </xdr:from>
    <xdr:to>
      <xdr:col>4</xdr:col>
      <xdr:colOff>592408</xdr:colOff>
      <xdr:row>22</xdr:row>
      <xdr:rowOff>46285</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EB5A2138-73CC-4C44-B6A2-079057C9B18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150297"/>
              <a:ext cx="3008506" cy="984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9261</xdr:colOff>
      <xdr:row>28</xdr:row>
      <xdr:rowOff>58885</xdr:rowOff>
    </xdr:from>
    <xdr:to>
      <xdr:col>4</xdr:col>
      <xdr:colOff>580792</xdr:colOff>
      <xdr:row>36</xdr:row>
      <xdr:rowOff>10884</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D485F7D8-A042-4C87-BBEA-5D86F16D88A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261" y="5262787"/>
              <a:ext cx="2987629" cy="143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50586</xdr:colOff>
      <xdr:row>7</xdr:row>
      <xdr:rowOff>11615</xdr:rowOff>
    </xdr:from>
    <xdr:to>
      <xdr:col>12</xdr:col>
      <xdr:colOff>185852</xdr:colOff>
      <xdr:row>15</xdr:row>
      <xdr:rowOff>119063</xdr:rowOff>
    </xdr:to>
    <xdr:graphicFrame macro="">
      <xdr:nvGraphicFramePr>
        <xdr:cNvPr id="18" name="Chart 17">
          <a:extLst>
            <a:ext uri="{FF2B5EF4-FFF2-40B4-BE49-F238E27FC236}">
              <a16:creationId xmlns:a16="http://schemas.microsoft.com/office/drawing/2014/main" id="{DD5C5981-CFF2-4781-8C76-DB5F80C5F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69693</xdr:colOff>
      <xdr:row>15</xdr:row>
      <xdr:rowOff>175232</xdr:rowOff>
    </xdr:from>
    <xdr:to>
      <xdr:col>12</xdr:col>
      <xdr:colOff>198339</xdr:colOff>
      <xdr:row>27</xdr:row>
      <xdr:rowOff>83343</xdr:rowOff>
    </xdr:to>
    <xdr:graphicFrame macro="">
      <xdr:nvGraphicFramePr>
        <xdr:cNvPr id="19" name="Chart 18">
          <a:extLst>
            <a:ext uri="{FF2B5EF4-FFF2-40B4-BE49-F238E27FC236}">
              <a16:creationId xmlns:a16="http://schemas.microsoft.com/office/drawing/2014/main" id="{B7A1D33D-918A-4D81-AAD1-CC428EBAA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408016</xdr:colOff>
      <xdr:row>26</xdr:row>
      <xdr:rowOff>57234</xdr:rowOff>
    </xdr:from>
    <xdr:to>
      <xdr:col>24</xdr:col>
      <xdr:colOff>116159</xdr:colOff>
      <xdr:row>35</xdr:row>
      <xdr:rowOff>163198</xdr:rowOff>
    </xdr:to>
    <xdr:graphicFrame macro="">
      <xdr:nvGraphicFramePr>
        <xdr:cNvPr id="20" name="Chart 19">
          <a:extLst>
            <a:ext uri="{FF2B5EF4-FFF2-40B4-BE49-F238E27FC236}">
              <a16:creationId xmlns:a16="http://schemas.microsoft.com/office/drawing/2014/main" id="{C9369D2B-04C0-4CE7-BCF0-34061EE4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380496</xdr:colOff>
      <xdr:row>3</xdr:row>
      <xdr:rowOff>73758</xdr:rowOff>
    </xdr:from>
    <xdr:to>
      <xdr:col>24</xdr:col>
      <xdr:colOff>92927</xdr:colOff>
      <xdr:row>13</xdr:row>
      <xdr:rowOff>26132</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BBB719CF-73E0-47CC-856E-18AEA1A498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962896" y="645258"/>
              <a:ext cx="2760431" cy="18573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348474</xdr:colOff>
      <xdr:row>21</xdr:row>
      <xdr:rowOff>85180</xdr:rowOff>
    </xdr:from>
    <xdr:to>
      <xdr:col>19</xdr:col>
      <xdr:colOff>279649</xdr:colOff>
      <xdr:row>36</xdr:row>
      <xdr:rowOff>23807</xdr:rowOff>
    </xdr:to>
    <xdr:graphicFrame macro="">
      <xdr:nvGraphicFramePr>
        <xdr:cNvPr id="22" name="Chart 21">
          <a:extLst>
            <a:ext uri="{FF2B5EF4-FFF2-40B4-BE49-F238E27FC236}">
              <a16:creationId xmlns:a16="http://schemas.microsoft.com/office/drawing/2014/main" id="{3BD2AFDB-3E69-4751-9A3F-F0A723143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81310</xdr:colOff>
      <xdr:row>27</xdr:row>
      <xdr:rowOff>140180</xdr:rowOff>
    </xdr:from>
    <xdr:to>
      <xdr:col>12</xdr:col>
      <xdr:colOff>198339</xdr:colOff>
      <xdr:row>36</xdr:row>
      <xdr:rowOff>11906</xdr:rowOff>
    </xdr:to>
    <xdr:graphicFrame macro="">
      <xdr:nvGraphicFramePr>
        <xdr:cNvPr id="23" name="Chart 22">
          <a:extLst>
            <a:ext uri="{FF2B5EF4-FFF2-40B4-BE49-F238E27FC236}">
              <a16:creationId xmlns:a16="http://schemas.microsoft.com/office/drawing/2014/main" id="{8D257BDC-5F91-400B-831D-34497D08B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386506</xdr:colOff>
      <xdr:row>13</xdr:row>
      <xdr:rowOff>85371</xdr:rowOff>
    </xdr:from>
    <xdr:to>
      <xdr:col>24</xdr:col>
      <xdr:colOff>104544</xdr:colOff>
      <xdr:row>25</xdr:row>
      <xdr:rowOff>175976</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A9AF7246-ECA2-4C4F-B0BF-2D6D4A6B42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968906" y="2561871"/>
              <a:ext cx="2766038" cy="23766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47624</xdr:colOff>
      <xdr:row>13</xdr:row>
      <xdr:rowOff>98341</xdr:rowOff>
    </xdr:from>
    <xdr:to>
      <xdr:col>58</xdr:col>
      <xdr:colOff>486021</xdr:colOff>
      <xdr:row>28</xdr:row>
      <xdr:rowOff>19358</xdr:rowOff>
    </xdr:to>
    <xdr:graphicFrame macro="">
      <xdr:nvGraphicFramePr>
        <xdr:cNvPr id="25" name="Chart 24">
          <a:extLst>
            <a:ext uri="{FF2B5EF4-FFF2-40B4-BE49-F238E27FC236}">
              <a16:creationId xmlns:a16="http://schemas.microsoft.com/office/drawing/2014/main" id="{4ABFFF06-D160-448F-9A5C-F50908F45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336859</xdr:colOff>
      <xdr:row>3</xdr:row>
      <xdr:rowOff>85082</xdr:rowOff>
    </xdr:from>
    <xdr:to>
      <xdr:col>19</xdr:col>
      <xdr:colOff>263037</xdr:colOff>
      <xdr:row>20</xdr:row>
      <xdr:rowOff>120801</xdr:rowOff>
    </xdr:to>
    <xdr:graphicFrame macro="">
      <xdr:nvGraphicFramePr>
        <xdr:cNvPr id="26" name="Chart 25">
          <a:extLst>
            <a:ext uri="{FF2B5EF4-FFF2-40B4-BE49-F238E27FC236}">
              <a16:creationId xmlns:a16="http://schemas.microsoft.com/office/drawing/2014/main" id="{EC0CEEA2-B8CC-4337-9F18-78356E9DA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104543</xdr:colOff>
      <xdr:row>3</xdr:row>
      <xdr:rowOff>69694</xdr:rowOff>
    </xdr:from>
    <xdr:to>
      <xdr:col>8</xdr:col>
      <xdr:colOff>290396</xdr:colOff>
      <xdr:row>6</xdr:row>
      <xdr:rowOff>174237</xdr:rowOff>
    </xdr:to>
    <xdr:sp macro="" textlink="">
      <xdr:nvSpPr>
        <xdr:cNvPr id="33" name="Flowchart: Alternate Process 32">
          <a:extLst>
            <a:ext uri="{FF2B5EF4-FFF2-40B4-BE49-F238E27FC236}">
              <a16:creationId xmlns:a16="http://schemas.microsoft.com/office/drawing/2014/main" id="{E27043AB-4255-3FE6-685A-F7D1E1B92BDA}"/>
            </a:ext>
          </a:extLst>
        </xdr:cNvPr>
        <xdr:cNvSpPr/>
      </xdr:nvSpPr>
      <xdr:spPr>
        <a:xfrm>
          <a:off x="3124665" y="627255"/>
          <a:ext cx="1997926" cy="662104"/>
        </a:xfrm>
        <a:prstGeom prst="flowChartAlternateProcess">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clientData/>
  </xdr:twoCellAnchor>
  <xdr:twoCellAnchor>
    <xdr:from>
      <xdr:col>8</xdr:col>
      <xdr:colOff>592411</xdr:colOff>
      <xdr:row>3</xdr:row>
      <xdr:rowOff>69694</xdr:rowOff>
    </xdr:from>
    <xdr:to>
      <xdr:col>12</xdr:col>
      <xdr:colOff>174239</xdr:colOff>
      <xdr:row>6</xdr:row>
      <xdr:rowOff>174237</xdr:rowOff>
    </xdr:to>
    <xdr:sp macro="" textlink="">
      <xdr:nvSpPr>
        <xdr:cNvPr id="34" name="Flowchart: Alternate Process 33">
          <a:extLst>
            <a:ext uri="{FF2B5EF4-FFF2-40B4-BE49-F238E27FC236}">
              <a16:creationId xmlns:a16="http://schemas.microsoft.com/office/drawing/2014/main" id="{35F13B81-7696-BAF3-26F1-45F37D865B94}"/>
            </a:ext>
          </a:extLst>
        </xdr:cNvPr>
        <xdr:cNvSpPr/>
      </xdr:nvSpPr>
      <xdr:spPr>
        <a:xfrm>
          <a:off x="5424606" y="627255"/>
          <a:ext cx="1997926" cy="662104"/>
        </a:xfrm>
        <a:prstGeom prst="flowChartAlternateProcess">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600" b="1">
              <a:solidFill>
                <a:schemeClr val="tx1"/>
              </a:solidFill>
            </a:rPr>
            <a:t>Total Profit</a:t>
          </a:r>
        </a:p>
      </xdr:txBody>
    </xdr:sp>
    <xdr:clientData/>
  </xdr:twoCellAnchor>
  <xdr:twoCellAnchor>
    <xdr:from>
      <xdr:col>5</xdr:col>
      <xdr:colOff>419684</xdr:colOff>
      <xdr:row>5</xdr:row>
      <xdr:rowOff>45973</xdr:rowOff>
    </xdr:from>
    <xdr:to>
      <xdr:col>8</xdr:col>
      <xdr:colOff>76680</xdr:colOff>
      <xdr:row>6</xdr:row>
      <xdr:rowOff>112478</xdr:rowOff>
    </xdr:to>
    <xdr:sp macro="" textlink="'Pivot '!A7">
      <xdr:nvSpPr>
        <xdr:cNvPr id="15" name="Rectangle 14">
          <a:extLst>
            <a:ext uri="{FF2B5EF4-FFF2-40B4-BE49-F238E27FC236}">
              <a16:creationId xmlns:a16="http://schemas.microsoft.com/office/drawing/2014/main" id="{967D85E6-5D23-4A5B-B1B1-62F2ACEBDFAD}"/>
            </a:ext>
          </a:extLst>
        </xdr:cNvPr>
        <xdr:cNvSpPr/>
      </xdr:nvSpPr>
      <xdr:spPr>
        <a:xfrm>
          <a:off x="3439806" y="975241"/>
          <a:ext cx="1469069" cy="252359"/>
        </a:xfrm>
        <a:prstGeom prst="rect">
          <a:avLst/>
        </a:prstGeom>
        <a:gradFill flip="none" rotWithShape="1">
          <a:gsLst>
            <a:gs pos="90000">
              <a:srgbClr val="FF0000">
                <a:lumMod val="72000"/>
              </a:srgbClr>
            </a:gs>
            <a:gs pos="100000">
              <a:schemeClr val="accent2">
                <a:shade val="94000"/>
                <a:satMod val="135000"/>
              </a:schemeClr>
            </a:gs>
          </a:gsLst>
          <a:lin ang="19800000" scaled="0"/>
          <a:tileRect/>
        </a:gra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fld id="{CA84F22B-93FF-4E57-A915-8ACC3C1E0CEF}" type="TxLink">
            <a:rPr lang="en-US" sz="1600" b="1" i="0" u="none" strike="noStrike">
              <a:solidFill>
                <a:srgbClr val="000000"/>
              </a:solidFill>
              <a:latin typeface="Calibri"/>
              <a:ea typeface="Calibri"/>
              <a:cs typeface="Calibri"/>
            </a:rPr>
            <a:pPr algn="ctr"/>
            <a:t>32332097.25</a:t>
          </a:fld>
          <a:endParaRPr lang="en-IN" sz="2400" b="1">
            <a:solidFill>
              <a:schemeClr val="bg1"/>
            </a:solidFill>
          </a:endParaRPr>
        </a:p>
      </xdr:txBody>
    </xdr:sp>
    <xdr:clientData/>
  </xdr:twoCellAnchor>
  <xdr:twoCellAnchor>
    <xdr:from>
      <xdr:col>9</xdr:col>
      <xdr:colOff>207575</xdr:colOff>
      <xdr:row>5</xdr:row>
      <xdr:rowOff>58077</xdr:rowOff>
    </xdr:from>
    <xdr:to>
      <xdr:col>11</xdr:col>
      <xdr:colOff>441404</xdr:colOff>
      <xdr:row>6</xdr:row>
      <xdr:rowOff>119352</xdr:rowOff>
    </xdr:to>
    <xdr:sp macro="" textlink="'Pivot '!C7">
      <xdr:nvSpPr>
        <xdr:cNvPr id="14" name="Rectangle 13">
          <a:extLst>
            <a:ext uri="{FF2B5EF4-FFF2-40B4-BE49-F238E27FC236}">
              <a16:creationId xmlns:a16="http://schemas.microsoft.com/office/drawing/2014/main" id="{D586EDF4-86A9-4E3F-920E-B7A69CE45611}"/>
            </a:ext>
          </a:extLst>
        </xdr:cNvPr>
        <xdr:cNvSpPr/>
      </xdr:nvSpPr>
      <xdr:spPr>
        <a:xfrm>
          <a:off x="5643795" y="987345"/>
          <a:ext cx="1441877" cy="247129"/>
        </a:xfrm>
        <a:prstGeom prst="rect">
          <a:avLst/>
        </a:prstGeom>
        <a:gradFill flip="none" rotWithShape="1">
          <a:gsLst>
            <a:gs pos="90000">
              <a:srgbClr val="FF0000">
                <a:lumMod val="72000"/>
              </a:srgbClr>
            </a:gs>
            <a:gs pos="100000">
              <a:schemeClr val="accent2">
                <a:shade val="94000"/>
                <a:satMod val="135000"/>
              </a:schemeClr>
            </a:gs>
          </a:gsLst>
          <a:lin ang="19800000" scaled="0"/>
          <a:tileRect/>
        </a:gra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fld id="{172DEC5A-2834-4AD0-B37D-3A072BE73164}" type="TxLink">
            <a:rPr lang="en-US" sz="1600" b="1" i="0" u="none" strike="noStrike">
              <a:solidFill>
                <a:srgbClr val="000000"/>
              </a:solidFill>
              <a:latin typeface="Calibri"/>
              <a:ea typeface="Calibri"/>
              <a:cs typeface="Calibri"/>
            </a:rPr>
            <a:pPr algn="ctr"/>
            <a:t>5762876.59</a:t>
          </a:fld>
          <a:endParaRPr lang="en-IN" sz="2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5.613389120372" createdVersion="8" refreshedVersion="8" minRefreshableVersion="3" recordCount="500" xr:uid="{AD88B855-0EE9-4D1E-A282-6181CBE44376}">
  <cacheSource type="worksheet">
    <worksheetSource ref="A1:U501" sheet="Order Data"/>
  </cacheSource>
  <cacheFields count="23">
    <cacheField name="Order ID" numFmtId="0">
      <sharedItems/>
    </cacheField>
    <cacheField name="Date" numFmtId="14">
      <sharedItems containsSemiMixedTypes="0" containsNonDate="0" containsDate="1" containsString="0" minDate="2025-01-01T00:00:00" maxDate="2025-12-31T00:00:00" count="260">
        <d v="2025-04-08T00:00:00"/>
        <d v="2025-08-27T00:00:00"/>
        <d v="2025-08-26T00:00:00"/>
        <d v="2025-05-20T00:00:00"/>
        <d v="2025-09-29T00:00:00"/>
        <d v="2025-08-07T00:00:00"/>
        <d v="2025-11-28T00:00:00"/>
        <d v="2025-01-22T00:00:00"/>
        <d v="2025-12-21T00:00:00"/>
        <d v="2025-07-04T00:00:00"/>
        <d v="2025-08-03T00:00:00"/>
        <d v="2025-03-12T00:00:00"/>
        <d v="2025-06-22T00:00:00"/>
        <d v="2025-12-28T00:00:00"/>
        <d v="2025-08-14T00:00:00"/>
        <d v="2025-05-15T00:00:00"/>
        <d v="2025-08-22T00:00:00"/>
        <d v="2025-01-24T00:00:00"/>
        <d v="2025-12-06T00:00:00"/>
        <d v="2025-02-25T00:00:00"/>
        <d v="2025-01-14T00:00:00"/>
        <d v="2025-09-26T00:00:00"/>
        <d v="2025-06-17T00:00:00"/>
        <d v="2025-09-28T00:00:00"/>
        <d v="2025-08-13T00:00:00"/>
        <d v="2025-05-25T00:00:00"/>
        <d v="2025-05-30T00:00:00"/>
        <d v="2025-06-26T00:00:00"/>
        <d v="2025-03-21T00:00:00"/>
        <d v="2025-09-14T00:00:00"/>
        <d v="2025-09-09T00:00:00"/>
        <d v="2025-07-21T00:00:00"/>
        <d v="2025-03-22T00:00:00"/>
        <d v="2025-10-16T00:00:00"/>
        <d v="2025-07-16T00:00:00"/>
        <d v="2025-11-20T00:00:00"/>
        <d v="2025-12-24T00:00:00"/>
        <d v="2025-06-10T00:00:00"/>
        <d v="2025-06-13T00:00:00"/>
        <d v="2025-06-28T00:00:00"/>
        <d v="2025-07-15T00:00:00"/>
        <d v="2025-07-01T00:00:00"/>
        <d v="2025-09-18T00:00:00"/>
        <d v="2025-01-12T00:00:00"/>
        <d v="2025-08-05T00:00:00"/>
        <d v="2025-11-18T00:00:00"/>
        <d v="2025-07-18T00:00:00"/>
        <d v="2025-06-08T00:00:00"/>
        <d v="2025-11-24T00:00:00"/>
        <d v="2025-10-25T00:00:00"/>
        <d v="2025-03-20T00:00:00"/>
        <d v="2025-02-06T00:00:00"/>
        <d v="2025-02-02T00:00:00"/>
        <d v="2025-10-10T00:00:00"/>
        <d v="2025-11-19T00:00:00"/>
        <d v="2025-01-21T00:00:00"/>
        <d v="2025-10-09T00:00:00"/>
        <d v="2025-01-31T00:00:00"/>
        <d v="2025-11-26T00:00:00"/>
        <d v="2025-03-03T00:00:00"/>
        <d v="2025-04-12T00:00:00"/>
        <d v="2025-03-19T00:00:00"/>
        <d v="2025-10-12T00:00:00"/>
        <d v="2025-10-14T00:00:00"/>
        <d v="2025-12-09T00:00:00"/>
        <d v="2025-02-27T00:00:00"/>
        <d v="2025-06-16T00:00:00"/>
        <d v="2025-12-25T00:00:00"/>
        <d v="2025-08-21T00:00:00"/>
        <d v="2025-03-16T00:00:00"/>
        <d v="2025-01-30T00:00:00"/>
        <d v="2025-07-11T00:00:00"/>
        <d v="2025-10-11T00:00:00"/>
        <d v="2025-06-02T00:00:00"/>
        <d v="2025-10-04T00:00:00"/>
        <d v="2025-07-27T00:00:00"/>
        <d v="2025-03-25T00:00:00"/>
        <d v="2025-11-08T00:00:00"/>
        <d v="2025-01-10T00:00:00"/>
        <d v="2025-12-14T00:00:00"/>
        <d v="2025-08-29T00:00:00"/>
        <d v="2025-09-21T00:00:00"/>
        <d v="2025-10-03T00:00:00"/>
        <d v="2025-06-01T00:00:00"/>
        <d v="2025-09-22T00:00:00"/>
        <d v="2025-01-25T00:00:00"/>
        <d v="2025-12-02T00:00:00"/>
        <d v="2025-05-24T00:00:00"/>
        <d v="2025-01-23T00:00:00"/>
        <d v="2025-05-08T00:00:00"/>
        <d v="2025-01-11T00:00:00"/>
        <d v="2025-10-20T00:00:00"/>
        <d v="2025-01-29T00:00:00"/>
        <d v="2025-05-02T00:00:00"/>
        <d v="2025-03-26T00:00:00"/>
        <d v="2025-02-01T00:00:00"/>
        <d v="2025-10-06T00:00:00"/>
        <d v="2025-07-31T00:00:00"/>
        <d v="2025-09-06T00:00:00"/>
        <d v="2025-12-08T00:00:00"/>
        <d v="2025-07-06T00:00:00"/>
        <d v="2025-10-02T00:00:00"/>
        <d v="2025-02-21T00:00:00"/>
        <d v="2025-03-09T00:00:00"/>
        <d v="2025-06-25T00:00:00"/>
        <d v="2025-09-04T00:00:00"/>
        <d v="2025-02-22T00:00:00"/>
        <d v="2025-12-23T00:00:00"/>
        <d v="2025-03-15T00:00:00"/>
        <d v="2025-05-16T00:00:00"/>
        <d v="2025-02-12T00:00:00"/>
        <d v="2025-03-05T00:00:00"/>
        <d v="2025-03-13T00:00:00"/>
        <d v="2025-06-18T00:00:00"/>
        <d v="2025-04-07T00:00:00"/>
        <d v="2025-07-19T00:00:00"/>
        <d v="2025-06-07T00:00:00"/>
        <d v="2025-06-30T00:00:00"/>
        <d v="2025-01-05T00:00:00"/>
        <d v="2025-07-22T00:00:00"/>
        <d v="2025-11-14T00:00:00"/>
        <d v="2025-01-03T00:00:00"/>
        <d v="2025-02-17T00:00:00"/>
        <d v="2025-11-22T00:00:00"/>
        <d v="2025-01-01T00:00:00"/>
        <d v="2025-12-10T00:00:00"/>
        <d v="2025-12-04T00:00:00"/>
        <d v="2025-11-05T00:00:00"/>
        <d v="2025-12-03T00:00:00"/>
        <d v="2025-05-22T00:00:00"/>
        <d v="2025-06-19T00:00:00"/>
        <d v="2025-04-22T00:00:00"/>
        <d v="2025-04-03T00:00:00"/>
        <d v="2025-12-16T00:00:00"/>
        <d v="2025-11-29T00:00:00"/>
        <d v="2025-09-30T00:00:00"/>
        <d v="2025-06-27T00:00:00"/>
        <d v="2025-09-16T00:00:00"/>
        <d v="2025-04-16T00:00:00"/>
        <d v="2025-09-10T00:00:00"/>
        <d v="2025-09-23T00:00:00"/>
        <d v="2025-05-06T00:00:00"/>
        <d v="2025-07-14T00:00:00"/>
        <d v="2025-09-27T00:00:00"/>
        <d v="2025-01-02T00:00:00"/>
        <d v="2025-03-11T00:00:00"/>
        <d v="2025-04-02T00:00:00"/>
        <d v="2025-03-06T00:00:00"/>
        <d v="2025-05-27T00:00:00"/>
        <d v="2025-04-14T00:00:00"/>
        <d v="2025-11-04T00:00:00"/>
        <d v="2025-06-21T00:00:00"/>
        <d v="2025-04-19T00:00:00"/>
        <d v="2025-06-09T00:00:00"/>
        <d v="2025-04-09T00:00:00"/>
        <d v="2025-07-30T00:00:00"/>
        <d v="2025-03-28T00:00:00"/>
        <d v="2025-01-27T00:00:00"/>
        <d v="2025-05-05T00:00:00"/>
        <d v="2025-09-03T00:00:00"/>
        <d v="2025-03-01T00:00:00"/>
        <d v="2025-05-01T00:00:00"/>
        <d v="2025-01-06T00:00:00"/>
        <d v="2025-02-23T00:00:00"/>
        <d v="2025-06-03T00:00:00"/>
        <d v="2025-10-29T00:00:00"/>
        <d v="2025-11-13T00:00:00"/>
        <d v="2025-11-25T00:00:00"/>
        <d v="2025-04-25T00:00:00"/>
        <d v="2025-09-25T00:00:00"/>
        <d v="2025-08-24T00:00:00"/>
        <d v="2025-03-23T00:00:00"/>
        <d v="2025-04-15T00:00:00"/>
        <d v="2025-02-11T00:00:00"/>
        <d v="2025-10-01T00:00:00"/>
        <d v="2025-12-07T00:00:00"/>
        <d v="2025-03-31T00:00:00"/>
        <d v="2025-07-13T00:00:00"/>
        <d v="2025-04-06T00:00:00"/>
        <d v="2025-05-26T00:00:00"/>
        <d v="2025-11-01T00:00:00"/>
        <d v="2025-12-20T00:00:00"/>
        <d v="2025-03-17T00:00:00"/>
        <d v="2025-01-19T00:00:00"/>
        <d v="2025-10-17T00:00:00"/>
        <d v="2025-01-15T00:00:00"/>
        <d v="2025-11-23T00:00:00"/>
        <d v="2025-10-27T00:00:00"/>
        <d v="2025-02-04T00:00:00"/>
        <d v="2025-09-02T00:00:00"/>
        <d v="2025-05-03T00:00:00"/>
        <d v="2025-10-26T00:00:00"/>
        <d v="2025-12-27T00:00:00"/>
        <d v="2025-08-10T00:00:00"/>
        <d v="2025-05-28T00:00:00"/>
        <d v="2025-12-18T00:00:00"/>
        <d v="2025-12-30T00:00:00"/>
        <d v="2025-02-26T00:00:00"/>
        <d v="2025-06-11T00:00:00"/>
        <d v="2025-02-15T00:00:00"/>
        <d v="2025-10-28T00:00:00"/>
        <d v="2025-01-08T00:00:00"/>
        <d v="2025-03-27T00:00:00"/>
        <d v="2025-11-30T00:00:00"/>
        <d v="2025-03-24T00:00:00"/>
        <d v="2025-07-24T00:00:00"/>
        <d v="2025-05-18T00:00:00"/>
        <d v="2025-07-10T00:00:00"/>
        <d v="2025-12-05T00:00:00"/>
        <d v="2025-04-26T00:00:00"/>
        <d v="2025-10-30T00:00:00"/>
        <d v="2025-09-05T00:00:00"/>
        <d v="2025-04-24T00:00:00"/>
        <d v="2025-06-06T00:00:00"/>
        <d v="2025-10-15T00:00:00"/>
        <d v="2025-04-27T00:00:00"/>
        <d v="2025-04-18T00:00:00"/>
        <d v="2025-01-04T00:00:00"/>
        <d v="2025-05-21T00:00:00"/>
        <d v="2025-08-20T00:00:00"/>
        <d v="2025-09-07T00:00:00"/>
        <d v="2025-07-28T00:00:00"/>
        <d v="2025-08-31T00:00:00"/>
        <d v="2025-10-21T00:00:00"/>
        <d v="2025-08-19T00:00:00"/>
        <d v="2025-12-12T00:00:00"/>
        <d v="2025-05-19T00:00:00"/>
        <d v="2025-04-29T00:00:00"/>
        <d v="2025-05-09T00:00:00"/>
        <d v="2025-02-18T00:00:00"/>
        <d v="2025-10-08T00:00:00"/>
        <d v="2025-12-15T00:00:00"/>
        <d v="2025-02-19T00:00:00"/>
        <d v="2025-10-23T00:00:00"/>
        <d v="2025-03-07T00:00:00"/>
        <d v="2025-02-10T00:00:00"/>
        <d v="2025-06-15T00:00:00"/>
        <d v="2025-08-23T00:00:00"/>
        <d v="2025-08-08T00:00:00"/>
        <d v="2025-03-10T00:00:00"/>
        <d v="2025-05-10T00:00:00"/>
        <d v="2025-07-07T00:00:00"/>
        <d v="2025-03-04T00:00:00"/>
        <d v="2025-05-04T00:00:00"/>
        <d v="2025-01-28T00:00:00"/>
        <d v="2025-07-05T00:00:00"/>
        <d v="2025-08-11T00:00:00"/>
        <d v="2025-10-18T00:00:00"/>
        <d v="2025-05-12T00:00:00"/>
        <d v="2025-09-08T00:00:00"/>
        <d v="2025-09-11T00:00:00"/>
        <d v="2025-02-14T00:00:00"/>
        <d v="2025-02-05T00:00:00"/>
        <d v="2025-05-14T00:00:00"/>
        <d v="2025-08-15T00:00:00"/>
        <d v="2025-08-06T00:00:00"/>
        <d v="2025-04-23T00:00:00"/>
        <d v="2025-09-15T00:00:00"/>
        <d v="2025-03-08T00:00:00"/>
        <d v="2025-09-17T00:00:00"/>
      </sharedItems>
      <fieldGroup par="22"/>
    </cacheField>
    <cacheField name="Customer Name" numFmtId="0">
      <sharedItems/>
    </cacheField>
    <cacheField name="Customer ID" numFmtId="0">
      <sharedItems/>
    </cacheField>
    <cacheField name="Region" numFmtId="0">
      <sharedItems count="4">
        <s v="South"/>
        <s v="East"/>
        <s v="North"/>
        <s v="West"/>
      </sharedItems>
    </cacheField>
    <cacheField name="City" numFmtId="0">
      <sharedItems count="8">
        <s v="Kolkata"/>
        <s v="Pune"/>
        <s v="Delhi"/>
        <s v="Ahmedabad"/>
        <s v="Lucknow"/>
        <s v="Chennai"/>
        <s v="Jaipur"/>
        <s v="Mumbai"/>
      </sharedItems>
    </cacheField>
    <cacheField name="Sales Channel" numFmtId="0">
      <sharedItems count="3">
        <s v="Online"/>
        <s v="Distributor"/>
        <s v="Retail Store"/>
      </sharedItems>
    </cacheField>
    <cacheField name="Product Category" numFmtId="0">
      <sharedItems count="3">
        <s v="Clothing"/>
        <s v="Electronics"/>
        <s v="Grocery"/>
      </sharedItems>
    </cacheField>
    <cacheField name="Product Sub-Category" numFmtId="0">
      <sharedItems count="6">
        <s v="Rice"/>
        <s v="Headphones"/>
        <s v="Shoes"/>
        <s v="Mobile"/>
        <s v="Laptop"/>
        <s v="Shirt"/>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containsInteger="1" minValue="540" maxValue="49999"/>
    </cacheField>
    <cacheField name="Total Sales" numFmtId="0">
      <sharedItems containsSemiMixedTypes="0" containsString="0" containsNumber="1" containsInteger="1" minValue="566" maxValue="488940"/>
    </cacheField>
    <cacheField name="Discount %" numFmtId="0">
      <sharedItems containsSemiMixedTypes="0" containsString="0" containsNumber="1" containsInteger="1" minValue="0" maxValue="20"/>
    </cacheField>
    <cacheField name="Discount Amount" numFmtId="0">
      <sharedItems containsSemiMixedTypes="0" containsString="0" containsNumber="1" minValue="0" maxValue="97788"/>
    </cacheField>
    <cacheField name="Net Sales" numFmtId="0">
      <sharedItems containsSemiMixedTypes="0" containsString="0" containsNumber="1" minValue="509.4" maxValue="461730"/>
    </cacheField>
    <cacheField name="Payment Mode" numFmtId="0">
      <sharedItems count="4">
        <s v="UPI"/>
        <s v="Credit Card"/>
        <s v="Cash"/>
        <s v="Debit Card"/>
      </sharedItems>
    </cacheField>
    <cacheField name="Delivery Status" numFmtId="0">
      <sharedItems count="3">
        <s v="Delivered"/>
        <s v="Cancelled"/>
        <s v="Pending"/>
      </sharedItems>
    </cacheField>
    <cacheField name="Profit Margin %" numFmtId="0">
      <sharedItems containsSemiMixedTypes="0" containsString="0" containsNumber="1" containsInteger="1" minValue="5" maxValue="30"/>
    </cacheField>
    <cacheField name="Profit Amount" numFmtId="0">
      <sharedItems containsSemiMixedTypes="0" containsString="0" containsNumber="1" minValue="105.28" maxValue="109884.6"/>
    </cacheField>
    <cacheField name="Days (Date)" numFmtId="0" databaseField="0">
      <fieldGroup base="1">
        <rangePr groupBy="days" startDate="2025-01-01T00:00:00" endDate="2025-12-3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Date)" numFmtId="0" databaseField="0">
      <fieldGroup base="1">
        <rangePr groupBy="months" startDate="2025-01-01T00:00:00" endDate="2025-12-31T00:00:00"/>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06274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s v="Amit Sharma"/>
    <s v="CUST449"/>
    <x v="0"/>
    <x v="0"/>
    <x v="0"/>
    <x v="0"/>
    <x v="0"/>
    <s v="Boat Headphones"/>
    <s v="PROD5028"/>
    <n v="4"/>
    <n v="24620"/>
    <n v="98480"/>
    <n v="5"/>
    <n v="4924"/>
    <n v="93556"/>
    <x v="0"/>
    <x v="0"/>
    <n v="10"/>
    <n v="9355.6"/>
  </r>
  <r>
    <s v="ORD1001"/>
    <x v="1"/>
    <s v="Kiran Patel"/>
    <s v="CUST927"/>
    <x v="1"/>
    <x v="1"/>
    <x v="1"/>
    <x v="1"/>
    <x v="1"/>
    <s v="Basmati Rice"/>
    <s v="PROD3101"/>
    <n v="5"/>
    <n v="39821"/>
    <n v="199105"/>
    <n v="0"/>
    <n v="0"/>
    <n v="199105"/>
    <x v="1"/>
    <x v="1"/>
    <n v="26"/>
    <n v="51767.3"/>
  </r>
  <r>
    <s v="ORD1002"/>
    <x v="2"/>
    <s v="Manoj Kumar"/>
    <s v="CUST923"/>
    <x v="2"/>
    <x v="2"/>
    <x v="0"/>
    <x v="1"/>
    <x v="2"/>
    <s v="Nike Shoes"/>
    <s v="PROD9617"/>
    <n v="3"/>
    <n v="48109"/>
    <n v="144327"/>
    <n v="20"/>
    <n v="28865.4"/>
    <n v="115461.6"/>
    <x v="2"/>
    <x v="1"/>
    <n v="12"/>
    <n v="13855.392"/>
  </r>
  <r>
    <s v="ORD1003"/>
    <x v="3"/>
    <s v="Manoj Kumar"/>
    <s v="CUST945"/>
    <x v="2"/>
    <x v="3"/>
    <x v="1"/>
    <x v="2"/>
    <x v="2"/>
    <s v="Boat Headphones"/>
    <s v="PROD6950"/>
    <n v="7"/>
    <n v="22692"/>
    <n v="158844"/>
    <n v="0"/>
    <n v="0"/>
    <n v="158844"/>
    <x v="0"/>
    <x v="0"/>
    <n v="8"/>
    <n v="12707.52"/>
  </r>
  <r>
    <s v="ORD1004"/>
    <x v="4"/>
    <s v="Kiran Patel"/>
    <s v="CUST359"/>
    <x v="1"/>
    <x v="1"/>
    <x v="0"/>
    <x v="1"/>
    <x v="0"/>
    <s v="Boat Headphones"/>
    <s v="PROD8210"/>
    <n v="5"/>
    <n v="19525"/>
    <n v="97625"/>
    <n v="0"/>
    <n v="0"/>
    <n v="97625"/>
    <x v="1"/>
    <x v="1"/>
    <n v="28"/>
    <n v="27335"/>
  </r>
  <r>
    <s v="ORD1005"/>
    <x v="5"/>
    <s v="Riya Das"/>
    <s v="CUST618"/>
    <x v="2"/>
    <x v="4"/>
    <x v="2"/>
    <x v="2"/>
    <x v="0"/>
    <s v="Dell Laptop"/>
    <s v="PROD9321"/>
    <n v="3"/>
    <n v="32260"/>
    <n v="96780"/>
    <n v="0"/>
    <n v="0"/>
    <n v="96780"/>
    <x v="2"/>
    <x v="2"/>
    <n v="21"/>
    <n v="20323.8"/>
  </r>
  <r>
    <s v="ORD1006"/>
    <x v="6"/>
    <s v="Arjun Mehta"/>
    <s v="CUST412"/>
    <x v="3"/>
    <x v="5"/>
    <x v="2"/>
    <x v="1"/>
    <x v="3"/>
    <s v="Basmati Rice"/>
    <s v="PROD1840"/>
    <n v="8"/>
    <n v="2370"/>
    <n v="18960"/>
    <n v="5"/>
    <n v="948"/>
    <n v="18012"/>
    <x v="2"/>
    <x v="0"/>
    <n v="6"/>
    <n v="1080.72"/>
  </r>
  <r>
    <s v="ORD1007"/>
    <x v="7"/>
    <s v="Riya Das"/>
    <s v="  "/>
    <x v="1"/>
    <x v="3"/>
    <x v="0"/>
    <x v="2"/>
    <x v="3"/>
    <s v="iPhone"/>
    <s v="PROD4926"/>
    <n v="3"/>
    <n v="25595"/>
    <n v="76785"/>
    <n v="15"/>
    <n v="11517.75"/>
    <n v="65267.25"/>
    <x v="2"/>
    <x v="1"/>
    <n v="13"/>
    <n v="8484.7425000000003"/>
  </r>
  <r>
    <s v="ORD1008"/>
    <x v="8"/>
    <s v="Rohit Verma"/>
    <s v="CUST273"/>
    <x v="3"/>
    <x v="6"/>
    <x v="1"/>
    <x v="2"/>
    <x v="1"/>
    <s v="Nike Shoes"/>
    <s v="PROD5581"/>
    <n v="6"/>
    <n v="44989"/>
    <n v="269934"/>
    <n v="20"/>
    <n v="53986.8"/>
    <n v="215947.2"/>
    <x v="1"/>
    <x v="2"/>
    <n v="27"/>
    <n v="58305.744000000013"/>
  </r>
  <r>
    <s v="ORD1009"/>
    <x v="9"/>
    <s v="Neha Gupta"/>
    <s v="CUST539"/>
    <x v="1"/>
    <x v="5"/>
    <x v="1"/>
    <x v="0"/>
    <x v="4"/>
    <s v="Basmati Rice"/>
    <s v="PROD4110"/>
    <n v="9"/>
    <n v="49386"/>
    <n v="444474"/>
    <n v="0"/>
    <n v="0"/>
    <n v="444474"/>
    <x v="3"/>
    <x v="2"/>
    <n v="10"/>
    <n v="44447.4"/>
  </r>
  <r>
    <s v="ORD1010"/>
    <x v="10"/>
    <s v="Priya Nair"/>
    <s v="CUST718"/>
    <x v="0"/>
    <x v="7"/>
    <x v="2"/>
    <x v="1"/>
    <x v="1"/>
    <s v="Nike Shoes"/>
    <s v="PROD2793"/>
    <n v="6"/>
    <n v="12025"/>
    <n v="72150"/>
    <n v="5"/>
    <n v="3607.5"/>
    <n v="68542.5"/>
    <x v="0"/>
    <x v="2"/>
    <n v="8"/>
    <n v="5483.4"/>
  </r>
  <r>
    <s v="ORD1011"/>
    <x v="11"/>
    <s v="Arjun Mehta"/>
    <s v="CUST667"/>
    <x v="3"/>
    <x v="7"/>
    <x v="0"/>
    <x v="0"/>
    <x v="2"/>
    <s v="iPhone"/>
    <s v="PROD9867"/>
    <n v="5"/>
    <n v="12202"/>
    <n v="61010"/>
    <n v="10"/>
    <n v="6101"/>
    <n v="54909"/>
    <x v="1"/>
    <x v="1"/>
    <n v="26"/>
    <n v="14276.34"/>
  </r>
  <r>
    <s v="ORD1012"/>
    <x v="12"/>
    <s v="Neha Gupta"/>
    <s v="CUST550"/>
    <x v="1"/>
    <x v="0"/>
    <x v="0"/>
    <x v="0"/>
    <x v="5"/>
    <s v="Basmati Rice"/>
    <s v="PROD6781"/>
    <n v="9"/>
    <n v="24381"/>
    <n v="219429"/>
    <n v="10"/>
    <n v="21942.9"/>
    <n v="197486.1"/>
    <x v="3"/>
    <x v="0"/>
    <n v="10"/>
    <n v="19748.61"/>
  </r>
  <r>
    <s v="ORD1013"/>
    <x v="13"/>
    <s v="Riya Das"/>
    <s v="CUST238"/>
    <x v="0"/>
    <x v="2"/>
    <x v="2"/>
    <x v="2"/>
    <x v="5"/>
    <s v="Boat Headphones"/>
    <s v="PROD4334"/>
    <n v="4"/>
    <n v="15320"/>
    <n v="61280"/>
    <n v="15"/>
    <n v="9192"/>
    <n v="52088"/>
    <x v="0"/>
    <x v="1"/>
    <n v="15"/>
    <n v="7813.2"/>
  </r>
  <r>
    <s v="ORD1014"/>
    <x v="14"/>
    <s v="Kiran Patel"/>
    <s v="CUST396"/>
    <x v="1"/>
    <x v="5"/>
    <x v="1"/>
    <x v="0"/>
    <x v="2"/>
    <s v="Dell Laptop"/>
    <s v="PROD3026"/>
    <n v="7"/>
    <n v="12825"/>
    <n v="89775"/>
    <n v="15"/>
    <n v="13466.25"/>
    <n v="76308.75"/>
    <x v="3"/>
    <x v="1"/>
    <n v="19"/>
    <n v="14498.6625"/>
  </r>
  <r>
    <s v="ORD1015"/>
    <x v="15"/>
    <s v="Riya Das"/>
    <s v="CUST174"/>
    <x v="0"/>
    <x v="0"/>
    <x v="0"/>
    <x v="0"/>
    <x v="4"/>
    <s v="Dell Laptop"/>
    <s v="PROD3358"/>
    <n v="4"/>
    <n v="31826"/>
    <n v="127304"/>
    <n v="10"/>
    <n v="12730.4"/>
    <n v="114573.6"/>
    <x v="0"/>
    <x v="2"/>
    <n v="11"/>
    <n v="12603.096"/>
  </r>
  <r>
    <s v="ORD1016"/>
    <x v="16"/>
    <s v="Amit Sharma"/>
    <s v="CUST200"/>
    <x v="2"/>
    <x v="0"/>
    <x v="1"/>
    <x v="2"/>
    <x v="2"/>
    <s v="Dell Laptop"/>
    <s v="PROD4856"/>
    <n v="6"/>
    <n v="46567"/>
    <n v="279402"/>
    <n v="0"/>
    <n v="0"/>
    <n v="279402"/>
    <x v="0"/>
    <x v="0"/>
    <n v="18"/>
    <n v="50292.36"/>
  </r>
  <r>
    <s v="ORD1017"/>
    <x v="17"/>
    <s v="Riya Das"/>
    <s v="CUST198"/>
    <x v="3"/>
    <x v="5"/>
    <x v="1"/>
    <x v="2"/>
    <x v="0"/>
    <s v="Polo Shirt"/>
    <s v="PROD6523"/>
    <n v="8"/>
    <n v="49086"/>
    <n v="392688"/>
    <n v="10"/>
    <n v="39268.800000000003"/>
    <n v="353419.2"/>
    <x v="1"/>
    <x v="1"/>
    <n v="14"/>
    <n v="49478.687999999987"/>
  </r>
  <r>
    <s v="ORD1018"/>
    <x v="18"/>
    <s v="Sana Khan"/>
    <s v="CUST596"/>
    <x v="2"/>
    <x v="5"/>
    <x v="0"/>
    <x v="2"/>
    <x v="3"/>
    <s v="Dell Laptop"/>
    <s v="PROD7056"/>
    <n v="7"/>
    <n v="44119"/>
    <n v="308833"/>
    <n v="20"/>
    <n v="61766.6"/>
    <n v="247066.4"/>
    <x v="3"/>
    <x v="0"/>
    <n v="8"/>
    <n v="19765.312000000002"/>
  </r>
  <r>
    <s v="ORD1019"/>
    <x v="19"/>
    <s v="Sana Khan"/>
    <s v="CUST797"/>
    <x v="0"/>
    <x v="5"/>
    <x v="0"/>
    <x v="2"/>
    <x v="0"/>
    <s v="Dell Laptop"/>
    <s v="PROD5469"/>
    <n v="4"/>
    <n v="28695"/>
    <n v="114780"/>
    <n v="5"/>
    <n v="5739"/>
    <n v="109041"/>
    <x v="0"/>
    <x v="2"/>
    <n v="26"/>
    <n v="28350.66"/>
  </r>
  <r>
    <s v="ORD1020"/>
    <x v="20"/>
    <s v="Rohit Verma"/>
    <s v="CUST353"/>
    <x v="0"/>
    <x v="5"/>
    <x v="2"/>
    <x v="2"/>
    <x v="1"/>
    <s v="Nike Shoes"/>
    <s v="PROD5257"/>
    <n v="3"/>
    <n v="44976"/>
    <n v="134928"/>
    <n v="20"/>
    <n v="26985.599999999999"/>
    <n v="107942.39999999999"/>
    <x v="2"/>
    <x v="0"/>
    <n v="16"/>
    <n v="17270.784"/>
  </r>
  <r>
    <s v="ORD1021"/>
    <x v="21"/>
    <s v="Priya Nair"/>
    <s v="CUST495"/>
    <x v="2"/>
    <x v="4"/>
    <x v="0"/>
    <x v="1"/>
    <x v="4"/>
    <s v="Polo Shirt"/>
    <s v="PROD5716"/>
    <n v="4"/>
    <n v="21387"/>
    <n v="85548"/>
    <n v="5"/>
    <n v="4277.3999999999996"/>
    <n v="81270.600000000006"/>
    <x v="3"/>
    <x v="1"/>
    <n v="18"/>
    <n v="14628.708000000001"/>
  </r>
  <r>
    <s v="ORD1022"/>
    <x v="22"/>
    <s v="Kiran Patel"/>
    <s v="CUST198"/>
    <x v="1"/>
    <x v="0"/>
    <x v="1"/>
    <x v="1"/>
    <x v="0"/>
    <s v="iPhone"/>
    <s v="PROD6167"/>
    <n v="6"/>
    <n v="3795"/>
    <n v="22770"/>
    <n v="15"/>
    <n v="3415.5"/>
    <n v="19354.5"/>
    <x v="2"/>
    <x v="1"/>
    <n v="10"/>
    <n v="1935.45"/>
  </r>
  <r>
    <s v="ORD1023"/>
    <x v="23"/>
    <s v="Rohit Verma"/>
    <s v="CUST841"/>
    <x v="0"/>
    <x v="1"/>
    <x v="0"/>
    <x v="2"/>
    <x v="0"/>
    <s v="Dell Laptop"/>
    <s v="PROD8029"/>
    <n v="1"/>
    <n v="19055"/>
    <n v="19055"/>
    <n v="20"/>
    <n v="3811"/>
    <n v="15244"/>
    <x v="0"/>
    <x v="0"/>
    <n v="23"/>
    <n v="3506.12"/>
  </r>
  <r>
    <s v="ORD1024"/>
    <x v="24"/>
    <s v="Amit Sharma"/>
    <s v="CUST608"/>
    <x v="0"/>
    <x v="2"/>
    <x v="0"/>
    <x v="1"/>
    <x v="3"/>
    <s v="Boat Headphones"/>
    <s v="PROD2030"/>
    <n v="5"/>
    <n v="3637"/>
    <n v="18185"/>
    <n v="10"/>
    <n v="1818.5"/>
    <n v="16366.5"/>
    <x v="1"/>
    <x v="2"/>
    <n v="13"/>
    <n v="2127.645"/>
  </r>
  <r>
    <s v="ORD1025"/>
    <x v="25"/>
    <s v="Rohit Verma"/>
    <s v="CUST955"/>
    <x v="0"/>
    <x v="6"/>
    <x v="0"/>
    <x v="0"/>
    <x v="4"/>
    <s v="Boat Headphones"/>
    <s v="PROD6841"/>
    <n v="7"/>
    <n v="24319"/>
    <n v="170233"/>
    <n v="10"/>
    <n v="17023.3"/>
    <n v="153209.70000000001"/>
    <x v="3"/>
    <x v="1"/>
    <n v="20"/>
    <n v="30641.94"/>
  </r>
  <r>
    <s v="ORD1026"/>
    <x v="26"/>
    <s v="Riya Das"/>
    <s v="CUST332"/>
    <x v="3"/>
    <x v="0"/>
    <x v="2"/>
    <x v="1"/>
    <x v="3"/>
    <s v="Boat Headphones"/>
    <s v="PROD3786"/>
    <n v="3"/>
    <n v="21798"/>
    <n v="65394"/>
    <n v="10"/>
    <n v="6539.4"/>
    <n v="58854.6"/>
    <x v="0"/>
    <x v="1"/>
    <n v="30"/>
    <n v="17656.38"/>
  </r>
  <r>
    <s v="ORD1027"/>
    <x v="27"/>
    <s v="Vikas Singh"/>
    <s v="CUST393"/>
    <x v="1"/>
    <x v="6"/>
    <x v="0"/>
    <x v="0"/>
    <x v="5"/>
    <s v="iPhone"/>
    <s v="PROD5590"/>
    <n v="5"/>
    <n v="42859"/>
    <n v="214295"/>
    <n v="15"/>
    <n v="32144.25"/>
    <n v="182150.75"/>
    <x v="3"/>
    <x v="2"/>
    <n v="13"/>
    <n v="23679.5975"/>
  </r>
  <r>
    <s v="ORD1028"/>
    <x v="28"/>
    <s v="Manoj Kumar"/>
    <s v="CUST887"/>
    <x v="2"/>
    <x v="0"/>
    <x v="2"/>
    <x v="0"/>
    <x v="3"/>
    <s v="Basmati Rice"/>
    <s v="PROD6648"/>
    <n v="1"/>
    <n v="42094"/>
    <n v="42094"/>
    <n v="0"/>
    <n v="0"/>
    <n v="42094"/>
    <x v="1"/>
    <x v="2"/>
    <n v="17"/>
    <n v="7155.98"/>
  </r>
  <r>
    <s v="ORD1029"/>
    <x v="29"/>
    <s v="Amit Sharma"/>
    <s v="CUST355"/>
    <x v="0"/>
    <x v="7"/>
    <x v="1"/>
    <x v="2"/>
    <x v="0"/>
    <s v="Dell Laptop"/>
    <s v="PROD6464"/>
    <n v="4"/>
    <n v="21681"/>
    <n v="86724"/>
    <n v="10"/>
    <n v="8672.4"/>
    <n v="78051.600000000006"/>
    <x v="0"/>
    <x v="1"/>
    <n v="30"/>
    <n v="23415.48"/>
  </r>
  <r>
    <s v="ORD1030"/>
    <x v="30"/>
    <s v="Riya Das"/>
    <s v="CUST225"/>
    <x v="0"/>
    <x v="7"/>
    <x v="1"/>
    <x v="2"/>
    <x v="2"/>
    <s v="Basmati Rice"/>
    <s v="PROD5906"/>
    <n v="10"/>
    <n v="13993"/>
    <n v="139930"/>
    <n v="20"/>
    <n v="27986"/>
    <n v="111944"/>
    <x v="3"/>
    <x v="2"/>
    <n v="22"/>
    <n v="24627.68"/>
  </r>
  <r>
    <s v="ORD1031"/>
    <x v="31"/>
    <s v="Amit Sharma"/>
    <s v="CUST601"/>
    <x v="0"/>
    <x v="0"/>
    <x v="2"/>
    <x v="2"/>
    <x v="1"/>
    <s v="Dell Laptop"/>
    <s v="PROD3474"/>
    <n v="7"/>
    <n v="28863"/>
    <n v="202041"/>
    <n v="10"/>
    <n v="20204.099999999999"/>
    <n v="181836.9"/>
    <x v="3"/>
    <x v="2"/>
    <n v="28"/>
    <n v="50914.332000000002"/>
  </r>
  <r>
    <s v="ORD1032"/>
    <x v="32"/>
    <s v="Riya Das"/>
    <s v="CUST611"/>
    <x v="2"/>
    <x v="7"/>
    <x v="1"/>
    <x v="0"/>
    <x v="5"/>
    <s v="Nike Shoes"/>
    <s v="PROD5990"/>
    <n v="3"/>
    <n v="44208"/>
    <n v="132624"/>
    <n v="15"/>
    <n v="19893.599999999999"/>
    <n v="112730.4"/>
    <x v="0"/>
    <x v="0"/>
    <n v="19"/>
    <n v="21418.776000000002"/>
  </r>
  <r>
    <s v="ORD1033"/>
    <x v="33"/>
    <s v="Vikas Singh"/>
    <s v="CUST649"/>
    <x v="1"/>
    <x v="4"/>
    <x v="2"/>
    <x v="0"/>
    <x v="5"/>
    <s v="Boat Headphones"/>
    <s v="PROD4044"/>
    <n v="5"/>
    <n v="17741"/>
    <n v="88705"/>
    <n v="20"/>
    <n v="17741"/>
    <n v="70964"/>
    <x v="1"/>
    <x v="0"/>
    <n v="11"/>
    <n v="7806.04"/>
  </r>
  <r>
    <s v="ORD1034"/>
    <x v="34"/>
    <s v="Manoj Kumar"/>
    <s v="CUST889"/>
    <x v="1"/>
    <x v="2"/>
    <x v="2"/>
    <x v="2"/>
    <x v="0"/>
    <s v="Boat Headphones"/>
    <s v="PROD7380"/>
    <n v="9"/>
    <n v="3365"/>
    <n v="30285"/>
    <n v="20"/>
    <n v="6057"/>
    <n v="24228"/>
    <x v="1"/>
    <x v="0"/>
    <n v="19"/>
    <n v="4603.32"/>
  </r>
  <r>
    <s v="ORD1035"/>
    <x v="35"/>
    <s v="Vikas Singh"/>
    <s v="CUST308"/>
    <x v="2"/>
    <x v="4"/>
    <x v="1"/>
    <x v="0"/>
    <x v="3"/>
    <s v="Boat Headphones"/>
    <s v="PROD9587"/>
    <n v="7"/>
    <n v="28016"/>
    <n v="196112"/>
    <n v="0"/>
    <n v="0"/>
    <n v="196112"/>
    <x v="3"/>
    <x v="0"/>
    <n v="19"/>
    <n v="37261.279999999999"/>
  </r>
  <r>
    <s v="ORD1036"/>
    <x v="36"/>
    <s v="Priya Nair"/>
    <s v="CUST293"/>
    <x v="2"/>
    <x v="3"/>
    <x v="0"/>
    <x v="2"/>
    <x v="2"/>
    <s v="Basmati Rice"/>
    <s v="PROD4002"/>
    <n v="8"/>
    <n v="8519"/>
    <n v="68152"/>
    <n v="10"/>
    <n v="6815.2"/>
    <n v="61336.800000000003"/>
    <x v="2"/>
    <x v="0"/>
    <n v="14"/>
    <n v="8587.152"/>
  </r>
  <r>
    <s v="ORD1037"/>
    <x v="37"/>
    <s v="Arjun Mehta"/>
    <s v="CUST141"/>
    <x v="3"/>
    <x v="5"/>
    <x v="0"/>
    <x v="1"/>
    <x v="4"/>
    <s v="Polo Shirt"/>
    <s v="PROD7283"/>
    <n v="5"/>
    <n v="42818"/>
    <n v="214090"/>
    <n v="5"/>
    <n v="10704.5"/>
    <n v="203385.5"/>
    <x v="2"/>
    <x v="2"/>
    <n v="28"/>
    <n v="56947.94"/>
  </r>
  <r>
    <s v="ORD1038"/>
    <x v="38"/>
    <s v="Riya Das"/>
    <s v="CUST383"/>
    <x v="2"/>
    <x v="6"/>
    <x v="2"/>
    <x v="0"/>
    <x v="1"/>
    <s v="Dell Laptop"/>
    <s v="PROD3006"/>
    <n v="2"/>
    <n v="19029"/>
    <n v="38058"/>
    <n v="15"/>
    <n v="5708.7"/>
    <n v="32349.3"/>
    <x v="1"/>
    <x v="1"/>
    <n v="29"/>
    <n v="9381.2969999999987"/>
  </r>
  <r>
    <s v="ORD1039"/>
    <x v="39"/>
    <s v="Amit Sharma"/>
    <s v="CUST257"/>
    <x v="1"/>
    <x v="0"/>
    <x v="0"/>
    <x v="0"/>
    <x v="2"/>
    <s v="Polo Shirt"/>
    <s v="PROD9633"/>
    <n v="10"/>
    <n v="36119"/>
    <n v="361190"/>
    <n v="5"/>
    <n v="18059.5"/>
    <n v="343130.5"/>
    <x v="1"/>
    <x v="0"/>
    <n v="18"/>
    <n v="61763.49"/>
  </r>
  <r>
    <s v="ORD1040"/>
    <x v="38"/>
    <s v="Riya Das"/>
    <s v="CUST940"/>
    <x v="1"/>
    <x v="2"/>
    <x v="2"/>
    <x v="0"/>
    <x v="4"/>
    <s v="Basmati Rice"/>
    <s v="PROD4152"/>
    <n v="10"/>
    <n v="540"/>
    <n v="5400"/>
    <n v="10"/>
    <n v="540"/>
    <n v="4860"/>
    <x v="0"/>
    <x v="2"/>
    <n v="30"/>
    <n v="1458"/>
  </r>
  <r>
    <s v="ORD1041"/>
    <x v="40"/>
    <s v="Arjun Mehta"/>
    <s v="CUST466"/>
    <x v="0"/>
    <x v="2"/>
    <x v="1"/>
    <x v="1"/>
    <x v="3"/>
    <s v="iPhone"/>
    <s v="PROD2912"/>
    <n v="4"/>
    <n v="27267"/>
    <n v="109068"/>
    <n v="5"/>
    <n v="5453.4"/>
    <n v="103614.6"/>
    <x v="1"/>
    <x v="2"/>
    <n v="13"/>
    <n v="13469.897999999999"/>
  </r>
  <r>
    <s v="ORD1042"/>
    <x v="20"/>
    <s v="Neha Gupta"/>
    <s v="CUST104"/>
    <x v="2"/>
    <x v="1"/>
    <x v="1"/>
    <x v="0"/>
    <x v="0"/>
    <s v="Nike Shoes"/>
    <s v="PROD6141"/>
    <n v="7"/>
    <n v="33121"/>
    <n v="231847"/>
    <n v="0"/>
    <n v="0"/>
    <n v="231847"/>
    <x v="2"/>
    <x v="1"/>
    <n v="15"/>
    <n v="34777.050000000003"/>
  </r>
  <r>
    <s v="ORD1043"/>
    <x v="41"/>
    <s v="Rohit Verma"/>
    <s v="CUST316"/>
    <x v="2"/>
    <x v="5"/>
    <x v="2"/>
    <x v="0"/>
    <x v="2"/>
    <s v="Boat Headphones"/>
    <s v="PROD2689"/>
    <n v="10"/>
    <n v="46173"/>
    <n v="461730"/>
    <n v="0"/>
    <n v="0"/>
    <n v="461730"/>
    <x v="2"/>
    <x v="0"/>
    <n v="7"/>
    <n v="32321.1"/>
  </r>
  <r>
    <s v="ORD1044"/>
    <x v="42"/>
    <s v="Vikas Singh"/>
    <s v="CUST415"/>
    <x v="3"/>
    <x v="2"/>
    <x v="2"/>
    <x v="2"/>
    <x v="0"/>
    <s v="Dell Laptop"/>
    <s v="PROD1610"/>
    <n v="6"/>
    <n v="21322"/>
    <n v="127932"/>
    <n v="20"/>
    <n v="25586.400000000001"/>
    <n v="102345.60000000001"/>
    <x v="1"/>
    <x v="0"/>
    <n v="26"/>
    <n v="26609.856"/>
  </r>
  <r>
    <s v="ORD1045"/>
    <x v="43"/>
    <s v="Kiran Patel"/>
    <s v="CUST107"/>
    <x v="0"/>
    <x v="2"/>
    <x v="1"/>
    <x v="2"/>
    <x v="2"/>
    <s v="iPhone"/>
    <s v="PROD5835"/>
    <n v="6"/>
    <n v="2693"/>
    <n v="16158"/>
    <n v="0"/>
    <n v="0"/>
    <n v="16158"/>
    <x v="1"/>
    <x v="2"/>
    <n v="9"/>
    <n v="1454.22"/>
  </r>
  <r>
    <s v="ORD1046"/>
    <x v="44"/>
    <s v="Rohit Verma"/>
    <s v="CUST492"/>
    <x v="0"/>
    <x v="0"/>
    <x v="1"/>
    <x v="1"/>
    <x v="1"/>
    <s v="Dell Laptop"/>
    <s v="PROD8737"/>
    <n v="10"/>
    <n v="15582"/>
    <n v="155820"/>
    <n v="15"/>
    <n v="23373"/>
    <n v="132447"/>
    <x v="1"/>
    <x v="1"/>
    <n v="5"/>
    <n v="6622.35"/>
  </r>
  <r>
    <s v="ORD1047"/>
    <x v="45"/>
    <s v="Riya Das"/>
    <s v="CUST146"/>
    <x v="3"/>
    <x v="7"/>
    <x v="0"/>
    <x v="1"/>
    <x v="2"/>
    <s v="Polo Shirt"/>
    <s v="PROD6759"/>
    <n v="3"/>
    <n v="5322"/>
    <n v="15966"/>
    <n v="20"/>
    <n v="3193.2"/>
    <n v="12772.8"/>
    <x v="3"/>
    <x v="0"/>
    <n v="11"/>
    <n v="1405.008"/>
  </r>
  <r>
    <s v="ORD1048"/>
    <x v="46"/>
    <s v="Vikas Singh"/>
    <s v="CUST523"/>
    <x v="3"/>
    <x v="2"/>
    <x v="2"/>
    <x v="0"/>
    <x v="5"/>
    <s v="iPhone"/>
    <s v="PROD6085"/>
    <n v="9"/>
    <n v="12043"/>
    <n v="108387"/>
    <n v="20"/>
    <n v="21677.4"/>
    <n v="86709.6"/>
    <x v="3"/>
    <x v="0"/>
    <n v="18"/>
    <n v="15607.727999999999"/>
  </r>
  <r>
    <s v="ORD1049"/>
    <x v="47"/>
    <s v="Neha Gupta"/>
    <s v="CUST122"/>
    <x v="3"/>
    <x v="2"/>
    <x v="0"/>
    <x v="0"/>
    <x v="2"/>
    <s v="iPhone"/>
    <s v="PROD9210"/>
    <n v="5"/>
    <n v="21749"/>
    <n v="108745"/>
    <n v="20"/>
    <n v="21749"/>
    <n v="86996"/>
    <x v="1"/>
    <x v="1"/>
    <n v="23"/>
    <n v="20009.080000000002"/>
  </r>
  <r>
    <s v="ORD1050"/>
    <x v="48"/>
    <s v="Sana Khan"/>
    <s v="CUST819"/>
    <x v="2"/>
    <x v="4"/>
    <x v="0"/>
    <x v="2"/>
    <x v="2"/>
    <s v="Basmati Rice"/>
    <s v="PROD9375"/>
    <n v="9"/>
    <n v="48447"/>
    <n v="436023"/>
    <n v="0"/>
    <n v="0"/>
    <n v="436023"/>
    <x v="1"/>
    <x v="0"/>
    <n v="12"/>
    <n v="52322.76"/>
  </r>
  <r>
    <s v="ORD1051"/>
    <x v="49"/>
    <s v="Neha Gupta"/>
    <s v="CUST430"/>
    <x v="3"/>
    <x v="0"/>
    <x v="1"/>
    <x v="0"/>
    <x v="3"/>
    <s v="Basmati Rice"/>
    <s v="PROD5740"/>
    <n v="3"/>
    <n v="4820"/>
    <n v="14460"/>
    <n v="0"/>
    <n v="0"/>
    <n v="14460"/>
    <x v="0"/>
    <x v="1"/>
    <n v="24"/>
    <n v="3470.4"/>
  </r>
  <r>
    <s v="ORD1052"/>
    <x v="50"/>
    <s v="Sana Khan"/>
    <s v="CUST890"/>
    <x v="2"/>
    <x v="1"/>
    <x v="0"/>
    <x v="2"/>
    <x v="0"/>
    <s v="iPhone"/>
    <s v="PROD3364"/>
    <n v="6"/>
    <n v="48079"/>
    <n v="288474"/>
    <n v="10"/>
    <n v="28847.4"/>
    <n v="259626.6"/>
    <x v="0"/>
    <x v="1"/>
    <n v="14"/>
    <n v="36347.724000000002"/>
  </r>
  <r>
    <s v="ORD1053"/>
    <x v="5"/>
    <s v="Sana Khan"/>
    <s v="CUST801"/>
    <x v="3"/>
    <x v="5"/>
    <x v="1"/>
    <x v="1"/>
    <x v="5"/>
    <s v="Boat Headphones"/>
    <s v="PROD9166"/>
    <n v="6"/>
    <n v="26300"/>
    <n v="157800"/>
    <n v="10"/>
    <n v="15780"/>
    <n v="142020"/>
    <x v="1"/>
    <x v="1"/>
    <n v="9"/>
    <n v="12781.8"/>
  </r>
  <r>
    <s v="ORD1054"/>
    <x v="51"/>
    <s v="Amit Sharma"/>
    <s v="CUST929"/>
    <x v="3"/>
    <x v="2"/>
    <x v="0"/>
    <x v="1"/>
    <x v="5"/>
    <s v="iPhone"/>
    <s v="PROD3723"/>
    <n v="4"/>
    <n v="38442"/>
    <n v="153768"/>
    <n v="10"/>
    <n v="15376.8"/>
    <n v="138391.20000000001"/>
    <x v="2"/>
    <x v="2"/>
    <n v="18"/>
    <n v="24910.416000000001"/>
  </r>
  <r>
    <s v="ORD1055"/>
    <x v="6"/>
    <s v="Sana Khan"/>
    <s v="CUST144"/>
    <x v="3"/>
    <x v="6"/>
    <x v="2"/>
    <x v="1"/>
    <x v="1"/>
    <s v="iPhone"/>
    <s v="PROD6947"/>
    <n v="7"/>
    <n v="49709"/>
    <n v="347963"/>
    <n v="20"/>
    <n v="69592.600000000006"/>
    <n v="278370.40000000002"/>
    <x v="1"/>
    <x v="1"/>
    <n v="6"/>
    <n v="16702.223999999998"/>
  </r>
  <r>
    <s v="ORD1056"/>
    <x v="52"/>
    <s v="Kiran Patel"/>
    <s v="CUST883"/>
    <x v="2"/>
    <x v="2"/>
    <x v="1"/>
    <x v="0"/>
    <x v="1"/>
    <s v="Boat Headphones"/>
    <s v="PROD5672"/>
    <n v="4"/>
    <n v="27281"/>
    <n v="109124"/>
    <n v="15"/>
    <n v="16368.6"/>
    <n v="92755.4"/>
    <x v="0"/>
    <x v="2"/>
    <n v="22"/>
    <n v="20406.187999999998"/>
  </r>
  <r>
    <s v="ORD1057"/>
    <x v="53"/>
    <s v="Sana Khan"/>
    <s v="CUST892"/>
    <x v="0"/>
    <x v="0"/>
    <x v="2"/>
    <x v="2"/>
    <x v="5"/>
    <s v="Boat Headphones"/>
    <s v="PROD2723"/>
    <n v="6"/>
    <n v="9453"/>
    <n v="56718"/>
    <n v="0"/>
    <n v="0"/>
    <n v="56718"/>
    <x v="2"/>
    <x v="2"/>
    <n v="27"/>
    <n v="15313.86"/>
  </r>
  <r>
    <s v="ORD1058"/>
    <x v="54"/>
    <s v="Sana Khan"/>
    <s v="CUST120"/>
    <x v="0"/>
    <x v="1"/>
    <x v="2"/>
    <x v="0"/>
    <x v="5"/>
    <s v="iPhone"/>
    <s v="PROD5515"/>
    <n v="6"/>
    <n v="46227"/>
    <n v="277362"/>
    <n v="10"/>
    <n v="27736.2"/>
    <n v="249625.8"/>
    <x v="1"/>
    <x v="0"/>
    <n v="17"/>
    <n v="42436.385999999999"/>
  </r>
  <r>
    <s v="ORD1059"/>
    <x v="55"/>
    <s v="Amit Sharma"/>
    <s v="CUST998"/>
    <x v="2"/>
    <x v="3"/>
    <x v="0"/>
    <x v="2"/>
    <x v="2"/>
    <s v="Polo Shirt"/>
    <s v="PROD4954"/>
    <n v="10"/>
    <n v="1321"/>
    <n v="13210"/>
    <n v="0"/>
    <n v="0"/>
    <n v="13210"/>
    <x v="1"/>
    <x v="0"/>
    <n v="22"/>
    <n v="2906.2"/>
  </r>
  <r>
    <s v="ORD1060"/>
    <x v="56"/>
    <s v="Arjun Mehta"/>
    <s v="CUST301"/>
    <x v="3"/>
    <x v="3"/>
    <x v="2"/>
    <x v="0"/>
    <x v="0"/>
    <s v="Polo Shirt"/>
    <s v="PROD6192"/>
    <n v="5"/>
    <n v="16661"/>
    <n v="83305"/>
    <n v="10"/>
    <n v="8330.5"/>
    <n v="74974.5"/>
    <x v="2"/>
    <x v="0"/>
    <n v="17"/>
    <n v="12745.665000000001"/>
  </r>
  <r>
    <s v="ORD1061"/>
    <x v="57"/>
    <s v="Sana Khan"/>
    <s v="CUST107"/>
    <x v="3"/>
    <x v="4"/>
    <x v="0"/>
    <x v="1"/>
    <x v="4"/>
    <s v="Polo Shirt"/>
    <s v="PROD6039"/>
    <n v="3"/>
    <n v="46856"/>
    <n v="140568"/>
    <n v="20"/>
    <n v="28113.599999999999"/>
    <n v="112454.39999999999"/>
    <x v="1"/>
    <x v="2"/>
    <n v="15"/>
    <n v="16868.16"/>
  </r>
  <r>
    <s v="ORD1062"/>
    <x v="58"/>
    <s v="Rohit Verma"/>
    <s v="CUST231"/>
    <x v="0"/>
    <x v="7"/>
    <x v="2"/>
    <x v="2"/>
    <x v="3"/>
    <s v="Nike Shoes"/>
    <s v="PROD9357"/>
    <n v="3"/>
    <n v="47651"/>
    <n v="142953"/>
    <n v="0"/>
    <n v="0"/>
    <n v="142953"/>
    <x v="3"/>
    <x v="1"/>
    <n v="5"/>
    <n v="7147.65"/>
  </r>
  <r>
    <s v="ORD1063"/>
    <x v="59"/>
    <s v="Rohit Verma"/>
    <s v="CUST680"/>
    <x v="1"/>
    <x v="3"/>
    <x v="1"/>
    <x v="2"/>
    <x v="0"/>
    <s v="Nike Shoes"/>
    <s v="PROD7905"/>
    <n v="4"/>
    <n v="28911"/>
    <n v="115644"/>
    <n v="5"/>
    <n v="5782.2"/>
    <n v="109861.8"/>
    <x v="1"/>
    <x v="2"/>
    <n v="23"/>
    <n v="25268.214"/>
  </r>
  <r>
    <s v="ORD1064"/>
    <x v="60"/>
    <s v="Manoj Kumar"/>
    <s v="CUST814"/>
    <x v="1"/>
    <x v="0"/>
    <x v="0"/>
    <x v="1"/>
    <x v="1"/>
    <s v="Basmati Rice"/>
    <s v="PROD5340"/>
    <n v="9"/>
    <n v="15765"/>
    <n v="141885"/>
    <n v="20"/>
    <n v="28377"/>
    <n v="113508"/>
    <x v="3"/>
    <x v="0"/>
    <n v="9"/>
    <n v="10215.719999999999"/>
  </r>
  <r>
    <s v="ORD1065"/>
    <x v="61"/>
    <s v="Neha Gupta"/>
    <s v="CUST181"/>
    <x v="2"/>
    <x v="4"/>
    <x v="0"/>
    <x v="1"/>
    <x v="2"/>
    <s v="Boat Headphones"/>
    <s v="PROD1123"/>
    <n v="3"/>
    <n v="24259"/>
    <n v="72777"/>
    <n v="5"/>
    <n v="3638.85"/>
    <n v="69138.149999999994"/>
    <x v="0"/>
    <x v="0"/>
    <n v="20"/>
    <n v="13827.63"/>
  </r>
  <r>
    <s v="ORD1066"/>
    <x v="47"/>
    <s v="Neha Gupta"/>
    <s v="CUST882"/>
    <x v="2"/>
    <x v="1"/>
    <x v="1"/>
    <x v="0"/>
    <x v="5"/>
    <s v="Boat Headphones"/>
    <s v="PROD4418"/>
    <n v="1"/>
    <n v="47004"/>
    <n v="47004"/>
    <n v="15"/>
    <n v="7050.6"/>
    <n v="39953.4"/>
    <x v="1"/>
    <x v="2"/>
    <n v="11"/>
    <n v="4394.8739999999998"/>
  </r>
  <r>
    <s v="ORD1067"/>
    <x v="62"/>
    <s v="Riya Das"/>
    <s v="CUST483"/>
    <x v="3"/>
    <x v="3"/>
    <x v="1"/>
    <x v="1"/>
    <x v="2"/>
    <s v="Nike Shoes"/>
    <s v="PROD1341"/>
    <n v="8"/>
    <n v="47325"/>
    <n v="378600"/>
    <n v="10"/>
    <n v="37860"/>
    <n v="340740"/>
    <x v="2"/>
    <x v="1"/>
    <n v="14"/>
    <n v="47703.6"/>
  </r>
  <r>
    <s v="ORD1068"/>
    <x v="63"/>
    <s v="Priya Nair"/>
    <s v="CUST149"/>
    <x v="2"/>
    <x v="0"/>
    <x v="1"/>
    <x v="1"/>
    <x v="2"/>
    <s v="Basmati Rice"/>
    <s v="PROD2022"/>
    <n v="4"/>
    <n v="2083"/>
    <n v="8332"/>
    <n v="5"/>
    <n v="416.6"/>
    <n v="7915.4"/>
    <x v="1"/>
    <x v="0"/>
    <n v="28"/>
    <n v="2216.3119999999999"/>
  </r>
  <r>
    <s v="ORD1069"/>
    <x v="23"/>
    <s v="Vikas Singh"/>
    <s v="CUST920"/>
    <x v="1"/>
    <x v="7"/>
    <x v="1"/>
    <x v="2"/>
    <x v="0"/>
    <s v="Boat Headphones"/>
    <s v="PROD3517"/>
    <n v="6"/>
    <n v="22454"/>
    <n v="134724"/>
    <n v="0"/>
    <n v="0"/>
    <n v="134724"/>
    <x v="0"/>
    <x v="1"/>
    <n v="6"/>
    <n v="8083.44"/>
  </r>
  <r>
    <s v="ORD1070"/>
    <x v="64"/>
    <s v="Neha Gupta"/>
    <s v="CUST389"/>
    <x v="1"/>
    <x v="2"/>
    <x v="1"/>
    <x v="2"/>
    <x v="5"/>
    <s v="Basmati Rice"/>
    <s v="PROD4424"/>
    <n v="2"/>
    <n v="14574"/>
    <n v="29148"/>
    <n v="20"/>
    <n v="5829.6"/>
    <n v="23318.400000000001"/>
    <x v="2"/>
    <x v="0"/>
    <n v="13"/>
    <n v="3031.3919999999998"/>
  </r>
  <r>
    <s v="ORD1071"/>
    <x v="38"/>
    <s v="Arjun Mehta"/>
    <s v="CUST863"/>
    <x v="1"/>
    <x v="7"/>
    <x v="0"/>
    <x v="2"/>
    <x v="4"/>
    <s v="Polo Shirt"/>
    <s v="PROD8165"/>
    <n v="3"/>
    <n v="16021"/>
    <n v="48063"/>
    <n v="10"/>
    <n v="4806.3"/>
    <n v="43256.7"/>
    <x v="2"/>
    <x v="2"/>
    <n v="12"/>
    <n v="5190.8040000000001"/>
  </r>
  <r>
    <s v="ORD1072"/>
    <x v="65"/>
    <s v="Sana Khan"/>
    <s v="CUST256"/>
    <x v="0"/>
    <x v="6"/>
    <x v="1"/>
    <x v="1"/>
    <x v="5"/>
    <s v="Polo Shirt"/>
    <s v="PROD9177"/>
    <n v="10"/>
    <n v="24062"/>
    <n v="240620"/>
    <n v="20"/>
    <n v="48124"/>
    <n v="192496"/>
    <x v="0"/>
    <x v="0"/>
    <n v="11"/>
    <n v="21174.560000000001"/>
  </r>
  <r>
    <s v="ORD1073"/>
    <x v="0"/>
    <s v="Riya Das"/>
    <s v="CUST592"/>
    <x v="1"/>
    <x v="1"/>
    <x v="0"/>
    <x v="2"/>
    <x v="1"/>
    <s v="Polo Shirt"/>
    <s v="PROD3876"/>
    <n v="9"/>
    <n v="22517"/>
    <n v="202653"/>
    <n v="0"/>
    <n v="0"/>
    <n v="202653"/>
    <x v="1"/>
    <x v="2"/>
    <n v="29"/>
    <n v="58769.37"/>
  </r>
  <r>
    <s v="ORD1074"/>
    <x v="9"/>
    <s v="Arjun Mehta"/>
    <s v="CUST818"/>
    <x v="2"/>
    <x v="5"/>
    <x v="1"/>
    <x v="1"/>
    <x v="3"/>
    <s v="Boat Headphones"/>
    <s v="PROD4921"/>
    <n v="1"/>
    <n v="8582"/>
    <n v="8582"/>
    <n v="15"/>
    <n v="1287.3"/>
    <n v="7294.7"/>
    <x v="3"/>
    <x v="0"/>
    <n v="13"/>
    <n v="948.31099999999992"/>
  </r>
  <r>
    <s v="ORD1075"/>
    <x v="66"/>
    <s v="Amit Sharma"/>
    <s v="CUST526"/>
    <x v="3"/>
    <x v="7"/>
    <x v="1"/>
    <x v="1"/>
    <x v="0"/>
    <s v="Basmati Rice"/>
    <s v="PROD1142"/>
    <n v="2"/>
    <n v="15495"/>
    <n v="30990"/>
    <n v="0"/>
    <n v="0"/>
    <n v="30990"/>
    <x v="1"/>
    <x v="1"/>
    <n v="19"/>
    <n v="5888.1"/>
  </r>
  <r>
    <s v="ORD1076"/>
    <x v="61"/>
    <s v="Riya Das"/>
    <s v="CUST679"/>
    <x v="1"/>
    <x v="1"/>
    <x v="2"/>
    <x v="2"/>
    <x v="0"/>
    <s v="Polo Shirt"/>
    <s v="PROD2205"/>
    <n v="1"/>
    <n v="44347"/>
    <n v="44347"/>
    <n v="15"/>
    <n v="6652.05"/>
    <n v="37694.949999999997"/>
    <x v="1"/>
    <x v="2"/>
    <n v="30"/>
    <n v="11308.485000000001"/>
  </r>
  <r>
    <s v="ORD1077"/>
    <x v="67"/>
    <s v="Kiran Patel"/>
    <s v="CUST297"/>
    <x v="2"/>
    <x v="1"/>
    <x v="0"/>
    <x v="1"/>
    <x v="3"/>
    <s v="Boat Headphones"/>
    <s v="PROD9584"/>
    <n v="7"/>
    <n v="38642"/>
    <n v="270494"/>
    <n v="0"/>
    <n v="0"/>
    <n v="270494"/>
    <x v="0"/>
    <x v="2"/>
    <n v="25"/>
    <n v="67623.5"/>
  </r>
  <r>
    <s v="ORD1078"/>
    <x v="20"/>
    <s v="Kiran Patel"/>
    <s v="CUST305"/>
    <x v="0"/>
    <x v="0"/>
    <x v="2"/>
    <x v="1"/>
    <x v="3"/>
    <s v="Basmati Rice"/>
    <s v="PROD7649"/>
    <n v="6"/>
    <n v="46470"/>
    <n v="278820"/>
    <n v="15"/>
    <n v="41823"/>
    <n v="236997"/>
    <x v="1"/>
    <x v="2"/>
    <n v="15"/>
    <n v="35549.550000000003"/>
  </r>
  <r>
    <s v="ORD1079"/>
    <x v="68"/>
    <s v="Vikas Singh"/>
    <s v="CUST203"/>
    <x v="3"/>
    <x v="6"/>
    <x v="1"/>
    <x v="0"/>
    <x v="1"/>
    <s v="Polo Shirt"/>
    <s v="PROD3205"/>
    <n v="7"/>
    <n v="5156"/>
    <n v="36092"/>
    <n v="10"/>
    <n v="3609.2"/>
    <n v="32482.799999999999"/>
    <x v="2"/>
    <x v="1"/>
    <n v="27"/>
    <n v="8770.3559999999998"/>
  </r>
  <r>
    <s v="ORD1080"/>
    <x v="69"/>
    <s v="Rohit Verma"/>
    <s v="CUST898"/>
    <x v="3"/>
    <x v="3"/>
    <x v="1"/>
    <x v="2"/>
    <x v="0"/>
    <s v="Polo Shirt"/>
    <s v="PROD6076"/>
    <n v="6"/>
    <n v="19001"/>
    <n v="114006"/>
    <n v="5"/>
    <n v="5700.3"/>
    <n v="108305.7"/>
    <x v="2"/>
    <x v="2"/>
    <n v="18"/>
    <n v="19495.026000000002"/>
  </r>
  <r>
    <s v="ORD1081"/>
    <x v="70"/>
    <s v="Riya Das"/>
    <s v="CUST154"/>
    <x v="1"/>
    <x v="7"/>
    <x v="1"/>
    <x v="1"/>
    <x v="5"/>
    <s v="Boat Headphones"/>
    <s v="PROD9315"/>
    <n v="6"/>
    <n v="9780"/>
    <n v="58680"/>
    <n v="20"/>
    <n v="11736"/>
    <n v="46944"/>
    <x v="0"/>
    <x v="0"/>
    <n v="9"/>
    <n v="4224.96"/>
  </r>
  <r>
    <s v="ORD1082"/>
    <x v="71"/>
    <s v="Amit Sharma"/>
    <s v="CUST463"/>
    <x v="2"/>
    <x v="0"/>
    <x v="1"/>
    <x v="0"/>
    <x v="5"/>
    <s v="Nike Shoes"/>
    <s v="PROD4480"/>
    <n v="1"/>
    <n v="31001"/>
    <n v="31001"/>
    <n v="10"/>
    <n v="3100.1"/>
    <n v="27900.9"/>
    <x v="1"/>
    <x v="0"/>
    <n v="27"/>
    <n v="7533.2430000000004"/>
  </r>
  <r>
    <s v="ORD1083"/>
    <x v="72"/>
    <s v="Rohit Verma"/>
    <s v="CUST421"/>
    <x v="1"/>
    <x v="2"/>
    <x v="0"/>
    <x v="0"/>
    <x v="3"/>
    <s v="Dell Laptop"/>
    <s v="PROD3944"/>
    <n v="3"/>
    <n v="40877"/>
    <n v="122631"/>
    <n v="5"/>
    <n v="6131.55"/>
    <n v="116499.45"/>
    <x v="3"/>
    <x v="0"/>
    <n v="10"/>
    <n v="11649.945"/>
  </r>
  <r>
    <s v="ORD1084"/>
    <x v="73"/>
    <s v="Rohit Verma"/>
    <s v="CUST960"/>
    <x v="3"/>
    <x v="5"/>
    <x v="1"/>
    <x v="0"/>
    <x v="2"/>
    <s v="Dell Laptop"/>
    <s v="PROD3790"/>
    <n v="8"/>
    <n v="42070"/>
    <n v="336560"/>
    <n v="5"/>
    <n v="16828"/>
    <n v="319732"/>
    <x v="0"/>
    <x v="1"/>
    <n v="13"/>
    <n v="41565.160000000003"/>
  </r>
  <r>
    <s v="ORD1085"/>
    <x v="74"/>
    <s v="Rohit Verma"/>
    <s v="CUST140"/>
    <x v="0"/>
    <x v="3"/>
    <x v="2"/>
    <x v="2"/>
    <x v="5"/>
    <s v="Nike Shoes"/>
    <s v="PROD2139"/>
    <n v="4"/>
    <n v="45641"/>
    <n v="182564"/>
    <n v="15"/>
    <n v="27384.6"/>
    <n v="155179.4"/>
    <x v="2"/>
    <x v="1"/>
    <n v="9"/>
    <n v="13966.146000000001"/>
  </r>
  <r>
    <s v="ORD1086"/>
    <x v="75"/>
    <s v="Priya Nair"/>
    <s v="CUST361"/>
    <x v="3"/>
    <x v="2"/>
    <x v="1"/>
    <x v="1"/>
    <x v="4"/>
    <s v="Basmati Rice"/>
    <s v="PROD2095"/>
    <n v="7"/>
    <n v="13461"/>
    <n v="94227"/>
    <n v="0"/>
    <n v="0"/>
    <n v="94227"/>
    <x v="0"/>
    <x v="2"/>
    <n v="29"/>
    <n v="27325.83"/>
  </r>
  <r>
    <s v="ORD1087"/>
    <x v="76"/>
    <s v="Vikas Singh"/>
    <s v="CUST931"/>
    <x v="3"/>
    <x v="1"/>
    <x v="1"/>
    <x v="0"/>
    <x v="0"/>
    <s v="Boat Headphones"/>
    <s v="PROD7724"/>
    <n v="1"/>
    <n v="19919"/>
    <n v="19919"/>
    <n v="5"/>
    <n v="995.95"/>
    <n v="18923.05"/>
    <x v="3"/>
    <x v="0"/>
    <n v="17"/>
    <n v="3216.9185000000002"/>
  </r>
  <r>
    <s v="ORD1088"/>
    <x v="69"/>
    <s v="Kiran Patel"/>
    <s v="CUST418"/>
    <x v="1"/>
    <x v="7"/>
    <x v="0"/>
    <x v="1"/>
    <x v="3"/>
    <s v="Basmati Rice"/>
    <s v="PROD5624"/>
    <n v="3"/>
    <n v="49911"/>
    <n v="149733"/>
    <n v="0"/>
    <n v="0"/>
    <n v="149733"/>
    <x v="1"/>
    <x v="2"/>
    <n v="9"/>
    <n v="13475.97"/>
  </r>
  <r>
    <s v="ORD1089"/>
    <x v="77"/>
    <s v="Amit Sharma"/>
    <s v="CUST731"/>
    <x v="1"/>
    <x v="7"/>
    <x v="1"/>
    <x v="2"/>
    <x v="5"/>
    <s v="Boat Headphones"/>
    <s v="PROD5294"/>
    <n v="4"/>
    <n v="1506"/>
    <n v="6024"/>
    <n v="10"/>
    <n v="602.4"/>
    <n v="5421.6"/>
    <x v="1"/>
    <x v="0"/>
    <n v="24"/>
    <n v="1301.184"/>
  </r>
  <r>
    <s v="ORD1090"/>
    <x v="46"/>
    <s v="Riya Das"/>
    <s v="CUST490"/>
    <x v="0"/>
    <x v="1"/>
    <x v="1"/>
    <x v="0"/>
    <x v="5"/>
    <s v="Polo Shirt"/>
    <s v="PROD2009"/>
    <n v="8"/>
    <n v="40862"/>
    <n v="326896"/>
    <n v="10"/>
    <n v="32689.599999999999"/>
    <n v="294206.40000000002"/>
    <x v="1"/>
    <x v="0"/>
    <n v="10"/>
    <n v="29420.639999999999"/>
  </r>
  <r>
    <s v="ORD1091"/>
    <x v="3"/>
    <s v="Arjun Mehta"/>
    <s v="CUST195"/>
    <x v="1"/>
    <x v="1"/>
    <x v="2"/>
    <x v="2"/>
    <x v="4"/>
    <s v="Polo Shirt"/>
    <s v="PROD9855"/>
    <n v="7"/>
    <n v="11446"/>
    <n v="80122"/>
    <n v="15"/>
    <n v="12018.3"/>
    <n v="68103.7"/>
    <x v="3"/>
    <x v="0"/>
    <n v="22"/>
    <n v="14982.814"/>
  </r>
  <r>
    <s v="ORD1092"/>
    <x v="78"/>
    <s v="Vikas Singh"/>
    <s v="CUST599"/>
    <x v="2"/>
    <x v="2"/>
    <x v="0"/>
    <x v="0"/>
    <x v="4"/>
    <s v="Basmati Rice"/>
    <s v="PROD3473"/>
    <n v="3"/>
    <n v="3964"/>
    <n v="11892"/>
    <n v="20"/>
    <n v="2378.4"/>
    <n v="9513.6"/>
    <x v="3"/>
    <x v="0"/>
    <n v="21"/>
    <n v="1997.856"/>
  </r>
  <r>
    <s v="ORD1093"/>
    <x v="31"/>
    <s v="Kiran Patel"/>
    <s v="CUST665"/>
    <x v="1"/>
    <x v="6"/>
    <x v="2"/>
    <x v="2"/>
    <x v="0"/>
    <s v="Polo Shirt"/>
    <s v="PROD4048"/>
    <n v="5"/>
    <n v="48174"/>
    <n v="240870"/>
    <n v="5"/>
    <n v="12043.5"/>
    <n v="228826.5"/>
    <x v="1"/>
    <x v="1"/>
    <n v="20"/>
    <n v="45765.3"/>
  </r>
  <r>
    <s v="ORD1094"/>
    <x v="79"/>
    <s v="Vikas Singh"/>
    <s v="CUST862"/>
    <x v="1"/>
    <x v="7"/>
    <x v="1"/>
    <x v="2"/>
    <x v="0"/>
    <s v="Basmati Rice"/>
    <s v="PROD5880"/>
    <n v="5"/>
    <n v="48814"/>
    <n v="244070"/>
    <n v="0"/>
    <n v="0"/>
    <n v="244070"/>
    <x v="3"/>
    <x v="0"/>
    <n v="13"/>
    <n v="31729.1"/>
  </r>
  <r>
    <s v="ORD1095"/>
    <x v="80"/>
    <s v="Kiran Patel"/>
    <s v="CUST793"/>
    <x v="3"/>
    <x v="7"/>
    <x v="0"/>
    <x v="0"/>
    <x v="1"/>
    <s v="Boat Headphones"/>
    <s v="PROD8860"/>
    <n v="8"/>
    <n v="29325"/>
    <n v="234600"/>
    <n v="5"/>
    <n v="11730"/>
    <n v="222870"/>
    <x v="2"/>
    <x v="0"/>
    <n v="11"/>
    <n v="24515.7"/>
  </r>
  <r>
    <s v="ORD1096"/>
    <x v="81"/>
    <s v="Priya Nair"/>
    <s v="CUST444"/>
    <x v="0"/>
    <x v="5"/>
    <x v="1"/>
    <x v="0"/>
    <x v="4"/>
    <s v="Nike Shoes"/>
    <s v="PROD9581"/>
    <n v="1"/>
    <n v="27172"/>
    <n v="27172"/>
    <n v="15"/>
    <n v="4075.8"/>
    <n v="23096.2"/>
    <x v="2"/>
    <x v="1"/>
    <n v="10"/>
    <n v="2309.62"/>
  </r>
  <r>
    <s v="ORD1097"/>
    <x v="82"/>
    <s v="Arjun Mehta"/>
    <s v="CUST175"/>
    <x v="0"/>
    <x v="2"/>
    <x v="0"/>
    <x v="0"/>
    <x v="1"/>
    <s v="iPhone"/>
    <s v="PROD9169"/>
    <n v="5"/>
    <n v="16821"/>
    <n v="84105"/>
    <n v="5"/>
    <n v="4205.25"/>
    <n v="79899.75"/>
    <x v="1"/>
    <x v="2"/>
    <n v="23"/>
    <n v="18376.942500000001"/>
  </r>
  <r>
    <s v="ORD1098"/>
    <x v="83"/>
    <s v="Amit Sharma"/>
    <s v="CUST513"/>
    <x v="0"/>
    <x v="6"/>
    <x v="0"/>
    <x v="2"/>
    <x v="0"/>
    <s v="Nike Shoes"/>
    <s v="PROD3837"/>
    <n v="8"/>
    <n v="41471"/>
    <n v="331768"/>
    <n v="0"/>
    <n v="0"/>
    <n v="331768"/>
    <x v="2"/>
    <x v="0"/>
    <n v="8"/>
    <n v="26541.439999999999"/>
  </r>
  <r>
    <s v="ORD1099"/>
    <x v="84"/>
    <s v="Manoj Kumar"/>
    <s v="CUST506"/>
    <x v="2"/>
    <x v="1"/>
    <x v="1"/>
    <x v="0"/>
    <x v="2"/>
    <s v="Polo Shirt"/>
    <s v="PROD2466"/>
    <n v="8"/>
    <n v="10331"/>
    <n v="82648"/>
    <n v="15"/>
    <n v="12397.2"/>
    <n v="70250.8"/>
    <x v="0"/>
    <x v="1"/>
    <n v="6"/>
    <n v="4215.0480000000007"/>
  </r>
  <r>
    <s v="ORD1100"/>
    <x v="43"/>
    <s v="Amit Sharma"/>
    <s v="CUST225"/>
    <x v="3"/>
    <x v="7"/>
    <x v="2"/>
    <x v="0"/>
    <x v="0"/>
    <s v="Polo Shirt"/>
    <s v="PROD7826"/>
    <n v="6"/>
    <n v="7966"/>
    <n v="47796"/>
    <n v="15"/>
    <n v="7169.4"/>
    <n v="40626.6"/>
    <x v="1"/>
    <x v="0"/>
    <n v="22"/>
    <n v="8937.851999999999"/>
  </r>
  <r>
    <s v="ORD1101"/>
    <x v="85"/>
    <s v="Rohit Verma"/>
    <s v="CUST918"/>
    <x v="0"/>
    <x v="2"/>
    <x v="0"/>
    <x v="0"/>
    <x v="2"/>
    <s v="Dell Laptop"/>
    <s v="PROD8982"/>
    <n v="3"/>
    <n v="28922"/>
    <n v="86766"/>
    <n v="15"/>
    <n v="13014.9"/>
    <n v="73751.100000000006"/>
    <x v="2"/>
    <x v="1"/>
    <n v="5"/>
    <n v="3687.5549999999998"/>
  </r>
  <r>
    <s v="ORD1102"/>
    <x v="86"/>
    <s v="Kiran Patel"/>
    <s v="CUST314"/>
    <x v="1"/>
    <x v="4"/>
    <x v="1"/>
    <x v="1"/>
    <x v="4"/>
    <s v="Nike Shoes"/>
    <s v="PROD3909"/>
    <n v="10"/>
    <n v="18733"/>
    <n v="187330"/>
    <n v="20"/>
    <n v="37466"/>
    <n v="149864"/>
    <x v="1"/>
    <x v="0"/>
    <n v="28"/>
    <n v="41961.919999999998"/>
  </r>
  <r>
    <s v="ORD1103"/>
    <x v="87"/>
    <s v="Manoj Kumar"/>
    <s v="CUST311"/>
    <x v="0"/>
    <x v="7"/>
    <x v="2"/>
    <x v="1"/>
    <x v="4"/>
    <s v="Basmati Rice"/>
    <s v="PROD2390"/>
    <n v="4"/>
    <n v="14655"/>
    <n v="58620"/>
    <n v="10"/>
    <n v="5862"/>
    <n v="52758"/>
    <x v="3"/>
    <x v="2"/>
    <n v="29"/>
    <n v="15299.82"/>
  </r>
  <r>
    <s v="ORD1104"/>
    <x v="88"/>
    <s v="Sana Khan"/>
    <s v="CUST363"/>
    <x v="1"/>
    <x v="2"/>
    <x v="2"/>
    <x v="0"/>
    <x v="2"/>
    <s v="Polo Shirt"/>
    <s v="PROD5930"/>
    <n v="9"/>
    <n v="28485"/>
    <n v="256365"/>
    <n v="10"/>
    <n v="25636.5"/>
    <n v="230728.5"/>
    <x v="3"/>
    <x v="2"/>
    <n v="13"/>
    <n v="29994.705000000002"/>
  </r>
  <r>
    <s v="ORD1105"/>
    <x v="89"/>
    <s v="Neha Gupta"/>
    <s v="CUST363"/>
    <x v="0"/>
    <x v="5"/>
    <x v="2"/>
    <x v="0"/>
    <x v="5"/>
    <s v="Boat Headphones"/>
    <s v="PROD7664"/>
    <n v="10"/>
    <n v="30058"/>
    <n v="300580"/>
    <n v="5"/>
    <n v="15029"/>
    <n v="285551"/>
    <x v="1"/>
    <x v="0"/>
    <n v="11"/>
    <n v="31410.61"/>
  </r>
  <r>
    <s v="ORD1106"/>
    <x v="90"/>
    <s v="Amit Sharma"/>
    <s v="CUST203"/>
    <x v="2"/>
    <x v="7"/>
    <x v="1"/>
    <x v="2"/>
    <x v="0"/>
    <s v="Boat Headphones"/>
    <s v="PROD9188"/>
    <n v="8"/>
    <n v="810"/>
    <n v="6480"/>
    <n v="20"/>
    <n v="1296"/>
    <n v="5184"/>
    <x v="1"/>
    <x v="0"/>
    <n v="30"/>
    <n v="1555.2"/>
  </r>
  <r>
    <s v="ORD1107"/>
    <x v="91"/>
    <s v="Kiran Patel"/>
    <s v="CUST297"/>
    <x v="2"/>
    <x v="4"/>
    <x v="2"/>
    <x v="0"/>
    <x v="5"/>
    <s v="Basmati Rice"/>
    <s v="PROD5826"/>
    <n v="6"/>
    <n v="4440"/>
    <n v="26640"/>
    <n v="10"/>
    <n v="2664"/>
    <n v="23976"/>
    <x v="2"/>
    <x v="2"/>
    <n v="20"/>
    <n v="4795.2"/>
  </r>
  <r>
    <s v="ORD1108"/>
    <x v="38"/>
    <s v="Priya Nair"/>
    <s v="CUST216"/>
    <x v="3"/>
    <x v="1"/>
    <x v="0"/>
    <x v="1"/>
    <x v="0"/>
    <s v="Nike Shoes"/>
    <s v="PROD6923"/>
    <n v="8"/>
    <n v="7970"/>
    <n v="63760"/>
    <n v="15"/>
    <n v="9564"/>
    <n v="54196"/>
    <x v="1"/>
    <x v="2"/>
    <n v="9"/>
    <n v="4877.6400000000003"/>
  </r>
  <r>
    <s v="ORD1109"/>
    <x v="92"/>
    <s v="Riya Das"/>
    <s v="CUST572"/>
    <x v="2"/>
    <x v="2"/>
    <x v="1"/>
    <x v="2"/>
    <x v="2"/>
    <s v="Nike Shoes"/>
    <s v="PROD2703"/>
    <n v="1"/>
    <n v="27814"/>
    <n v="27814"/>
    <n v="5"/>
    <n v="1390.7"/>
    <n v="26423.3"/>
    <x v="0"/>
    <x v="1"/>
    <n v="16"/>
    <n v="4227.7280000000001"/>
  </r>
  <r>
    <s v="ORD1110"/>
    <x v="21"/>
    <s v="Manoj Kumar"/>
    <s v="CUST499"/>
    <x v="1"/>
    <x v="2"/>
    <x v="2"/>
    <x v="0"/>
    <x v="2"/>
    <s v="Dell Laptop"/>
    <s v="PROD9397"/>
    <n v="1"/>
    <n v="28955"/>
    <n v="28955"/>
    <n v="5"/>
    <n v="1447.75"/>
    <n v="27507.25"/>
    <x v="0"/>
    <x v="0"/>
    <n v="15"/>
    <n v="4126.0874999999996"/>
  </r>
  <r>
    <s v="ORD1111"/>
    <x v="93"/>
    <s v="Vikas Singh"/>
    <s v="CUST199"/>
    <x v="3"/>
    <x v="1"/>
    <x v="0"/>
    <x v="0"/>
    <x v="2"/>
    <s v="Basmati Rice"/>
    <s v="PROD3997"/>
    <n v="8"/>
    <n v="12101"/>
    <n v="96808"/>
    <n v="10"/>
    <n v="9680.7999999999993"/>
    <n v="87127.2"/>
    <x v="2"/>
    <x v="0"/>
    <n v="15"/>
    <n v="13069.08"/>
  </r>
  <r>
    <s v="ORD1112"/>
    <x v="94"/>
    <s v="Kiran Patel"/>
    <s v="CUST653"/>
    <x v="2"/>
    <x v="2"/>
    <x v="1"/>
    <x v="1"/>
    <x v="2"/>
    <s v="Dell Laptop"/>
    <s v="PROD7649"/>
    <n v="2"/>
    <n v="37929"/>
    <n v="75858"/>
    <n v="0"/>
    <n v="0"/>
    <n v="75858"/>
    <x v="1"/>
    <x v="2"/>
    <n v="27"/>
    <n v="20481.66"/>
  </r>
  <r>
    <s v="ORD1113"/>
    <x v="95"/>
    <s v="Priya Nair"/>
    <s v="CUST609"/>
    <x v="3"/>
    <x v="6"/>
    <x v="0"/>
    <x v="1"/>
    <x v="5"/>
    <s v="Basmati Rice"/>
    <s v="PROD9247"/>
    <n v="3"/>
    <n v="27206"/>
    <n v="81618"/>
    <n v="0"/>
    <n v="0"/>
    <n v="81618"/>
    <x v="0"/>
    <x v="1"/>
    <n v="22"/>
    <n v="17955.96"/>
  </r>
  <r>
    <s v="ORD1114"/>
    <x v="96"/>
    <s v="Manoj Kumar"/>
    <s v="CUST187"/>
    <x v="2"/>
    <x v="6"/>
    <x v="2"/>
    <x v="1"/>
    <x v="4"/>
    <s v="Boat Headphones"/>
    <s v="PROD4865"/>
    <n v="2"/>
    <n v="28842"/>
    <n v="57684"/>
    <n v="10"/>
    <n v="5768.4"/>
    <n v="51915.6"/>
    <x v="2"/>
    <x v="1"/>
    <n v="9"/>
    <n v="4672.4040000000005"/>
  </r>
  <r>
    <s v="ORD1115"/>
    <x v="97"/>
    <s v="Arjun Mehta"/>
    <s v="CUST634"/>
    <x v="3"/>
    <x v="1"/>
    <x v="0"/>
    <x v="0"/>
    <x v="1"/>
    <s v="Basmati Rice"/>
    <s v="PROD8661"/>
    <n v="6"/>
    <n v="9195"/>
    <n v="55170"/>
    <n v="15"/>
    <n v="8275.5"/>
    <n v="46894.5"/>
    <x v="0"/>
    <x v="2"/>
    <n v="6"/>
    <n v="2813.67"/>
  </r>
  <r>
    <s v="ORD1116"/>
    <x v="98"/>
    <s v="Priya Nair"/>
    <s v="CUST713"/>
    <x v="2"/>
    <x v="2"/>
    <x v="1"/>
    <x v="1"/>
    <x v="5"/>
    <s v="Polo Shirt"/>
    <s v="PROD1876"/>
    <n v="10"/>
    <n v="32987"/>
    <n v="329870"/>
    <n v="5"/>
    <n v="16493.5"/>
    <n v="313376.5"/>
    <x v="1"/>
    <x v="1"/>
    <n v="10"/>
    <n v="31337.65"/>
  </r>
  <r>
    <s v="ORD1117"/>
    <x v="99"/>
    <s v="Amit Sharma"/>
    <s v="CUST190"/>
    <x v="0"/>
    <x v="5"/>
    <x v="0"/>
    <x v="1"/>
    <x v="2"/>
    <s v="Boat Headphones"/>
    <s v="PROD1842"/>
    <n v="9"/>
    <n v="40634"/>
    <n v="365706"/>
    <n v="0"/>
    <n v="0"/>
    <n v="365706"/>
    <x v="2"/>
    <x v="1"/>
    <n v="12"/>
    <n v="43884.72"/>
  </r>
  <r>
    <s v="ORD1118"/>
    <x v="100"/>
    <s v="Amit Sharma"/>
    <s v="CUST765"/>
    <x v="0"/>
    <x v="3"/>
    <x v="1"/>
    <x v="1"/>
    <x v="0"/>
    <s v="Nike Shoes"/>
    <s v="PROD4031"/>
    <n v="6"/>
    <n v="9400"/>
    <n v="56400"/>
    <n v="5"/>
    <n v="2820"/>
    <n v="53580"/>
    <x v="0"/>
    <x v="0"/>
    <n v="18"/>
    <n v="9644.4"/>
  </r>
  <r>
    <s v="ORD1119"/>
    <x v="101"/>
    <s v="Sana Khan"/>
    <s v="CUST449"/>
    <x v="2"/>
    <x v="6"/>
    <x v="1"/>
    <x v="1"/>
    <x v="4"/>
    <s v="Boat Headphones"/>
    <s v="PROD6336"/>
    <n v="1"/>
    <n v="17437"/>
    <n v="17437"/>
    <n v="15"/>
    <n v="2615.5500000000002"/>
    <n v="14821.45"/>
    <x v="1"/>
    <x v="0"/>
    <n v="23"/>
    <n v="3408.933500000001"/>
  </r>
  <r>
    <s v="ORD1120"/>
    <x v="85"/>
    <s v="Amit Sharma"/>
    <s v="CUST325"/>
    <x v="0"/>
    <x v="3"/>
    <x v="1"/>
    <x v="0"/>
    <x v="2"/>
    <s v="iPhone"/>
    <s v="PROD2784"/>
    <n v="2"/>
    <n v="37804"/>
    <n v="75608"/>
    <n v="20"/>
    <n v="15121.6"/>
    <n v="60486.400000000001"/>
    <x v="0"/>
    <x v="1"/>
    <n v="26"/>
    <n v="15726.464"/>
  </r>
  <r>
    <s v="ORD1121"/>
    <x v="102"/>
    <s v="Neha Gupta"/>
    <s v="CUST284"/>
    <x v="1"/>
    <x v="1"/>
    <x v="0"/>
    <x v="2"/>
    <x v="4"/>
    <s v="Nike Shoes"/>
    <s v="PROD9898"/>
    <n v="4"/>
    <n v="9072"/>
    <n v="36288"/>
    <n v="15"/>
    <n v="5443.2"/>
    <n v="30844.799999999999"/>
    <x v="2"/>
    <x v="2"/>
    <n v="29"/>
    <n v="8944.9920000000002"/>
  </r>
  <r>
    <s v="ORD1122"/>
    <x v="103"/>
    <s v="Manoj Kumar"/>
    <s v="CUST126"/>
    <x v="3"/>
    <x v="7"/>
    <x v="1"/>
    <x v="1"/>
    <x v="1"/>
    <s v="Nike Shoes"/>
    <s v="PROD2111"/>
    <n v="1"/>
    <n v="4791"/>
    <n v="4791"/>
    <n v="0"/>
    <n v="0"/>
    <n v="4791"/>
    <x v="2"/>
    <x v="1"/>
    <n v="8"/>
    <n v="383.28"/>
  </r>
  <r>
    <s v="ORD1123"/>
    <x v="94"/>
    <s v="Neha Gupta"/>
    <s v="CUST305"/>
    <x v="3"/>
    <x v="7"/>
    <x v="1"/>
    <x v="2"/>
    <x v="3"/>
    <s v="Dell Laptop"/>
    <s v="PROD8826"/>
    <n v="9"/>
    <n v="24452"/>
    <n v="220068"/>
    <n v="10"/>
    <n v="22006.799999999999"/>
    <n v="198061.2"/>
    <x v="2"/>
    <x v="1"/>
    <n v="22"/>
    <n v="43573.464000000007"/>
  </r>
  <r>
    <s v="ORD1124"/>
    <x v="75"/>
    <s v="Priya Nair"/>
    <s v="CUST141"/>
    <x v="2"/>
    <x v="0"/>
    <x v="2"/>
    <x v="1"/>
    <x v="1"/>
    <s v="Basmati Rice"/>
    <s v="PROD6055"/>
    <n v="10"/>
    <n v="24986"/>
    <n v="249860"/>
    <n v="5"/>
    <n v="12493"/>
    <n v="237367"/>
    <x v="0"/>
    <x v="1"/>
    <n v="20"/>
    <n v="47473.4"/>
  </r>
  <r>
    <s v="ORD1125"/>
    <x v="104"/>
    <s v="Kiran Patel"/>
    <s v="CUST549"/>
    <x v="2"/>
    <x v="2"/>
    <x v="1"/>
    <x v="2"/>
    <x v="1"/>
    <s v="Polo Shirt"/>
    <s v="PROD2945"/>
    <n v="3"/>
    <n v="23733"/>
    <n v="71199"/>
    <n v="20"/>
    <n v="14239.8"/>
    <n v="56959.199999999997"/>
    <x v="2"/>
    <x v="0"/>
    <n v="27"/>
    <n v="15378.984"/>
  </r>
  <r>
    <s v="ORD1126"/>
    <x v="105"/>
    <s v="Manoj Kumar"/>
    <s v="CUST465"/>
    <x v="2"/>
    <x v="7"/>
    <x v="0"/>
    <x v="0"/>
    <x v="3"/>
    <s v="Boat Headphones"/>
    <s v="PROD4292"/>
    <n v="9"/>
    <n v="22631"/>
    <n v="203679"/>
    <n v="10"/>
    <n v="20367.900000000001"/>
    <n v="183311.1"/>
    <x v="1"/>
    <x v="1"/>
    <n v="25"/>
    <n v="45827.775000000001"/>
  </r>
  <r>
    <s v="ORD1127"/>
    <x v="106"/>
    <s v="Priya Nair"/>
    <s v="CUST985"/>
    <x v="0"/>
    <x v="7"/>
    <x v="0"/>
    <x v="2"/>
    <x v="5"/>
    <s v="Nike Shoes"/>
    <s v="PROD2431"/>
    <n v="8"/>
    <n v="47633"/>
    <n v="381064"/>
    <n v="10"/>
    <n v="38106.400000000001"/>
    <n v="342957.6"/>
    <x v="0"/>
    <x v="1"/>
    <n v="28"/>
    <n v="96028.127999999982"/>
  </r>
  <r>
    <s v="ORD1128"/>
    <x v="34"/>
    <s v="Priya Nair"/>
    <s v="CUST920"/>
    <x v="3"/>
    <x v="5"/>
    <x v="0"/>
    <x v="0"/>
    <x v="0"/>
    <s v="Nike Shoes"/>
    <s v="PROD4337"/>
    <n v="8"/>
    <n v="35872"/>
    <n v="286976"/>
    <n v="5"/>
    <n v="14348.8"/>
    <n v="272627.20000000001"/>
    <x v="2"/>
    <x v="2"/>
    <n v="19"/>
    <n v="51799.167999999998"/>
  </r>
  <r>
    <s v="ORD1129"/>
    <x v="107"/>
    <s v="Arjun Mehta"/>
    <s v="CUST472"/>
    <x v="0"/>
    <x v="7"/>
    <x v="1"/>
    <x v="2"/>
    <x v="1"/>
    <s v="Basmati Rice"/>
    <s v="PROD7011"/>
    <n v="2"/>
    <n v="37980"/>
    <n v="75960"/>
    <n v="10"/>
    <n v="7596"/>
    <n v="68364"/>
    <x v="2"/>
    <x v="0"/>
    <n v="7"/>
    <n v="4785.4799999999996"/>
  </r>
  <r>
    <s v="ORD1130"/>
    <x v="108"/>
    <s v="Arjun Mehta"/>
    <s v="CUST508"/>
    <x v="2"/>
    <x v="1"/>
    <x v="0"/>
    <x v="1"/>
    <x v="4"/>
    <s v="iPhone"/>
    <s v="PROD9661"/>
    <n v="4"/>
    <n v="25685"/>
    <n v="102740"/>
    <n v="0"/>
    <n v="0"/>
    <n v="102740"/>
    <x v="2"/>
    <x v="1"/>
    <n v="5"/>
    <n v="5137"/>
  </r>
  <r>
    <s v="ORD1131"/>
    <x v="109"/>
    <s v="Amit Sharma"/>
    <s v="CUST731"/>
    <x v="2"/>
    <x v="6"/>
    <x v="2"/>
    <x v="0"/>
    <x v="4"/>
    <s v="Dell Laptop"/>
    <s v="PROD7936"/>
    <n v="4"/>
    <n v="47429"/>
    <n v="189716"/>
    <n v="20"/>
    <n v="37943.199999999997"/>
    <n v="151772.79999999999"/>
    <x v="0"/>
    <x v="1"/>
    <n v="8"/>
    <n v="12141.824000000001"/>
  </r>
  <r>
    <s v="ORD1132"/>
    <x v="110"/>
    <s v="Amit Sharma"/>
    <s v="CUST308"/>
    <x v="2"/>
    <x v="6"/>
    <x v="0"/>
    <x v="1"/>
    <x v="3"/>
    <s v="Polo Shirt"/>
    <s v="PROD4826"/>
    <n v="4"/>
    <n v="47942"/>
    <n v="191768"/>
    <n v="15"/>
    <n v="28765.200000000001"/>
    <n v="163002.79999999999"/>
    <x v="1"/>
    <x v="1"/>
    <n v="24"/>
    <n v="39120.671999999999"/>
  </r>
  <r>
    <s v="ORD1133"/>
    <x v="111"/>
    <s v="Vikas Singh"/>
    <s v="CUST918"/>
    <x v="1"/>
    <x v="2"/>
    <x v="2"/>
    <x v="0"/>
    <x v="4"/>
    <s v="Nike Shoes"/>
    <s v="PROD2555"/>
    <n v="9"/>
    <n v="27342"/>
    <n v="246078"/>
    <n v="10"/>
    <n v="24607.8"/>
    <n v="221470.2"/>
    <x v="1"/>
    <x v="2"/>
    <n v="22"/>
    <n v="48723.444000000003"/>
  </r>
  <r>
    <s v="ORD1134"/>
    <x v="112"/>
    <s v="Riya Das"/>
    <s v="CUST858"/>
    <x v="3"/>
    <x v="4"/>
    <x v="2"/>
    <x v="2"/>
    <x v="4"/>
    <s v="Boat Headphones"/>
    <s v="PROD1610"/>
    <n v="6"/>
    <n v="1871"/>
    <n v="11226"/>
    <n v="20"/>
    <n v="2245.1999999999998"/>
    <n v="8980.7999999999993"/>
    <x v="2"/>
    <x v="2"/>
    <n v="24"/>
    <n v="2155.3919999999998"/>
  </r>
  <r>
    <s v="ORD1135"/>
    <x v="113"/>
    <s v="Riya Das"/>
    <s v="CUST411"/>
    <x v="0"/>
    <x v="1"/>
    <x v="1"/>
    <x v="1"/>
    <x v="1"/>
    <s v="Polo Shirt"/>
    <s v="PROD4754"/>
    <n v="7"/>
    <n v="8081"/>
    <n v="56567"/>
    <n v="5"/>
    <n v="2828.35"/>
    <n v="53738.65"/>
    <x v="0"/>
    <x v="2"/>
    <n v="20"/>
    <n v="10747.73"/>
  </r>
  <r>
    <s v="ORD1136"/>
    <x v="114"/>
    <s v="Sana Khan"/>
    <s v="CUST255"/>
    <x v="1"/>
    <x v="6"/>
    <x v="0"/>
    <x v="2"/>
    <x v="2"/>
    <s v="Boat Headphones"/>
    <s v="PROD8866"/>
    <n v="7"/>
    <n v="28476"/>
    <n v="199332"/>
    <n v="10"/>
    <n v="19933.2"/>
    <n v="179398.8"/>
    <x v="2"/>
    <x v="1"/>
    <n v="26"/>
    <n v="46643.687999999987"/>
  </r>
  <r>
    <s v="ORD1137"/>
    <x v="115"/>
    <s v="Sana Khan"/>
    <s v="CUST734"/>
    <x v="3"/>
    <x v="7"/>
    <x v="2"/>
    <x v="2"/>
    <x v="3"/>
    <s v="Boat Headphones"/>
    <s v="PROD3304"/>
    <n v="7"/>
    <n v="28197"/>
    <n v="197379"/>
    <n v="15"/>
    <n v="29606.85"/>
    <n v="167772.15"/>
    <x v="0"/>
    <x v="1"/>
    <n v="26"/>
    <n v="43620.758999999991"/>
  </r>
  <r>
    <s v="ORD1138"/>
    <x v="116"/>
    <s v="Manoj Kumar"/>
    <s v="CUST563"/>
    <x v="3"/>
    <x v="3"/>
    <x v="2"/>
    <x v="0"/>
    <x v="5"/>
    <s v="Basmati Rice"/>
    <s v="PROD1031"/>
    <n v="9"/>
    <n v="39490"/>
    <n v="355410"/>
    <n v="20"/>
    <n v="71082"/>
    <n v="284328"/>
    <x v="0"/>
    <x v="1"/>
    <n v="19"/>
    <n v="54022.32"/>
  </r>
  <r>
    <s v="ORD1139"/>
    <x v="117"/>
    <s v="Vikas Singh"/>
    <s v="CUST182"/>
    <x v="1"/>
    <x v="2"/>
    <x v="2"/>
    <x v="1"/>
    <x v="4"/>
    <s v="iPhone"/>
    <s v="PROD6519"/>
    <n v="5"/>
    <n v="24562"/>
    <n v="122810"/>
    <n v="15"/>
    <n v="18421.5"/>
    <n v="104388.5"/>
    <x v="3"/>
    <x v="1"/>
    <n v="14"/>
    <n v="14614.39"/>
  </r>
  <r>
    <s v="ORD1140"/>
    <x v="118"/>
    <s v="Amit Sharma"/>
    <s v="CUST976"/>
    <x v="0"/>
    <x v="7"/>
    <x v="2"/>
    <x v="0"/>
    <x v="1"/>
    <s v="Dell Laptop"/>
    <s v="PROD7893"/>
    <n v="6"/>
    <n v="1920"/>
    <n v="11520"/>
    <n v="15"/>
    <n v="1728"/>
    <n v="9792"/>
    <x v="1"/>
    <x v="2"/>
    <n v="21"/>
    <n v="2056.3200000000002"/>
  </r>
  <r>
    <s v="ORD1141"/>
    <x v="119"/>
    <s v="Kiran Patel"/>
    <s v="CUST839"/>
    <x v="0"/>
    <x v="0"/>
    <x v="2"/>
    <x v="2"/>
    <x v="1"/>
    <s v="Dell Laptop"/>
    <s v="PROD4870"/>
    <n v="4"/>
    <n v="42814"/>
    <n v="171256"/>
    <n v="10"/>
    <n v="17125.599999999999"/>
    <n v="154130.4"/>
    <x v="3"/>
    <x v="1"/>
    <n v="12"/>
    <n v="18495.648000000001"/>
  </r>
  <r>
    <s v="ORD1142"/>
    <x v="120"/>
    <s v="Rohit Verma"/>
    <s v="CUST685"/>
    <x v="2"/>
    <x v="4"/>
    <x v="0"/>
    <x v="2"/>
    <x v="0"/>
    <s v="Basmati Rice"/>
    <s v="PROD6610"/>
    <n v="7"/>
    <n v="3224"/>
    <n v="22568"/>
    <n v="0"/>
    <n v="0"/>
    <n v="22568"/>
    <x v="1"/>
    <x v="2"/>
    <n v="30"/>
    <n v="6770.4"/>
  </r>
  <r>
    <s v="ORD1143"/>
    <x v="121"/>
    <s v="Arjun Mehta"/>
    <s v="CUST513"/>
    <x v="2"/>
    <x v="7"/>
    <x v="2"/>
    <x v="0"/>
    <x v="0"/>
    <s v="Boat Headphones"/>
    <s v="PROD3095"/>
    <n v="6"/>
    <n v="49790"/>
    <n v="298740"/>
    <n v="10"/>
    <n v="29874"/>
    <n v="268866"/>
    <x v="1"/>
    <x v="2"/>
    <n v="29"/>
    <n v="77971.14"/>
  </r>
  <r>
    <s v="ORD1144"/>
    <x v="122"/>
    <s v="Neha Gupta"/>
    <s v="CUST894"/>
    <x v="2"/>
    <x v="4"/>
    <x v="2"/>
    <x v="2"/>
    <x v="3"/>
    <s v="iPhone"/>
    <s v="PROD7578"/>
    <n v="9"/>
    <n v="3930"/>
    <n v="35370"/>
    <n v="10"/>
    <n v="3537"/>
    <n v="31833"/>
    <x v="0"/>
    <x v="2"/>
    <n v="13"/>
    <n v="4138.29"/>
  </r>
  <r>
    <s v="ORD1145"/>
    <x v="82"/>
    <s v="Sana Khan"/>
    <s v="CUST736"/>
    <x v="0"/>
    <x v="3"/>
    <x v="1"/>
    <x v="2"/>
    <x v="5"/>
    <s v="iPhone"/>
    <s v="PROD5444"/>
    <n v="5"/>
    <n v="11864"/>
    <n v="59320"/>
    <n v="20"/>
    <n v="11864"/>
    <n v="47456"/>
    <x v="2"/>
    <x v="2"/>
    <n v="12"/>
    <n v="5694.72"/>
  </r>
  <r>
    <s v="ORD1146"/>
    <x v="123"/>
    <s v="Rohit Verma"/>
    <s v="CUST872"/>
    <x v="2"/>
    <x v="7"/>
    <x v="2"/>
    <x v="0"/>
    <x v="3"/>
    <s v="iPhone"/>
    <s v="PROD4677"/>
    <n v="9"/>
    <n v="30245"/>
    <n v="272205"/>
    <n v="10"/>
    <n v="27220.5"/>
    <n v="244984.5"/>
    <x v="2"/>
    <x v="2"/>
    <n v="14"/>
    <n v="34297.83"/>
  </r>
  <r>
    <s v="ORD1147"/>
    <x v="124"/>
    <s v="Neha Gupta"/>
    <s v="CUST659"/>
    <x v="2"/>
    <x v="6"/>
    <x v="1"/>
    <x v="2"/>
    <x v="3"/>
    <s v="Dell Laptop"/>
    <s v="PROD8863"/>
    <n v="5"/>
    <n v="43605"/>
    <n v="218025"/>
    <n v="10"/>
    <n v="21802.5"/>
    <n v="196222.5"/>
    <x v="2"/>
    <x v="0"/>
    <n v="15"/>
    <n v="29433.375"/>
  </r>
  <r>
    <s v="ORD1148"/>
    <x v="41"/>
    <s v="Manoj Kumar"/>
    <s v="CUST817"/>
    <x v="2"/>
    <x v="6"/>
    <x v="2"/>
    <x v="2"/>
    <x v="4"/>
    <s v="Basmati Rice"/>
    <s v="PROD1129"/>
    <n v="7"/>
    <n v="25298"/>
    <n v="177086"/>
    <n v="5"/>
    <n v="8854.2999999999993"/>
    <n v="168231.7"/>
    <x v="3"/>
    <x v="1"/>
    <n v="29"/>
    <n v="48787.193000000007"/>
  </r>
  <r>
    <s v="ORD1149"/>
    <x v="116"/>
    <s v="Manoj Kumar"/>
    <s v="CUST918"/>
    <x v="2"/>
    <x v="7"/>
    <x v="2"/>
    <x v="1"/>
    <x v="3"/>
    <s v="Basmati Rice"/>
    <s v="PROD6424"/>
    <n v="4"/>
    <n v="32731"/>
    <n v="130924"/>
    <n v="10"/>
    <n v="13092.4"/>
    <n v="117831.6"/>
    <x v="0"/>
    <x v="1"/>
    <n v="22"/>
    <n v="25922.952000000001"/>
  </r>
  <r>
    <s v="ORD1150"/>
    <x v="26"/>
    <s v="Sana Khan"/>
    <s v="CUST830"/>
    <x v="2"/>
    <x v="0"/>
    <x v="2"/>
    <x v="2"/>
    <x v="2"/>
    <s v="iPhone"/>
    <s v="PROD6523"/>
    <n v="5"/>
    <n v="9610"/>
    <n v="48050"/>
    <n v="20"/>
    <n v="9610"/>
    <n v="38440"/>
    <x v="1"/>
    <x v="1"/>
    <n v="30"/>
    <n v="11532"/>
  </r>
  <r>
    <s v="ORD1151"/>
    <x v="125"/>
    <s v="Rohit Verma"/>
    <s v="CUST241"/>
    <x v="0"/>
    <x v="2"/>
    <x v="0"/>
    <x v="1"/>
    <x v="3"/>
    <s v="Dell Laptop"/>
    <s v="PROD7954"/>
    <n v="7"/>
    <n v="20998"/>
    <n v="146986"/>
    <n v="5"/>
    <n v="7349.3"/>
    <n v="139636.70000000001"/>
    <x v="3"/>
    <x v="2"/>
    <n v="22"/>
    <n v="30720.074000000001"/>
  </r>
  <r>
    <s v="ORD1152"/>
    <x v="80"/>
    <s v="Priya Nair"/>
    <s v="CUST596"/>
    <x v="1"/>
    <x v="2"/>
    <x v="0"/>
    <x v="0"/>
    <x v="5"/>
    <s v="iPhone"/>
    <s v="PROD5183"/>
    <n v="3"/>
    <n v="28927"/>
    <n v="86781"/>
    <n v="0"/>
    <n v="0"/>
    <n v="86781"/>
    <x v="2"/>
    <x v="2"/>
    <n v="12"/>
    <n v="10413.719999999999"/>
  </r>
  <r>
    <s v="ORD1153"/>
    <x v="126"/>
    <s v="Neha Gupta"/>
    <s v="CUST742"/>
    <x v="1"/>
    <x v="7"/>
    <x v="1"/>
    <x v="0"/>
    <x v="4"/>
    <s v="Dell Laptop"/>
    <s v="PROD4711"/>
    <n v="6"/>
    <n v="21460"/>
    <n v="128760"/>
    <n v="20"/>
    <n v="25752"/>
    <n v="103008"/>
    <x v="1"/>
    <x v="0"/>
    <n v="19"/>
    <n v="19571.52"/>
  </r>
  <r>
    <s v="ORD1154"/>
    <x v="114"/>
    <s v="Kiran Patel"/>
    <s v="CUST564"/>
    <x v="0"/>
    <x v="5"/>
    <x v="2"/>
    <x v="0"/>
    <x v="0"/>
    <s v="Boat Headphones"/>
    <s v="PROD5237"/>
    <n v="1"/>
    <n v="566"/>
    <n v="566"/>
    <n v="10"/>
    <n v="56.6"/>
    <n v="509.4"/>
    <x v="0"/>
    <x v="1"/>
    <n v="28"/>
    <n v="142.63200000000001"/>
  </r>
  <r>
    <s v="ORD1155"/>
    <x v="127"/>
    <s v="Riya Das"/>
    <s v="CUST652"/>
    <x v="0"/>
    <x v="5"/>
    <x v="1"/>
    <x v="2"/>
    <x v="0"/>
    <s v="Boat Headphones"/>
    <s v="PROD6412"/>
    <n v="10"/>
    <n v="21607"/>
    <n v="216070"/>
    <n v="0"/>
    <n v="0"/>
    <n v="216070"/>
    <x v="0"/>
    <x v="0"/>
    <n v="24"/>
    <n v="51856.800000000003"/>
  </r>
  <r>
    <s v="ORD1156"/>
    <x v="30"/>
    <s v="Kiran Patel"/>
    <s v="CUST979"/>
    <x v="1"/>
    <x v="1"/>
    <x v="1"/>
    <x v="2"/>
    <x v="5"/>
    <s v="Dell Laptop"/>
    <s v="PROD8650"/>
    <n v="1"/>
    <n v="45044"/>
    <n v="45044"/>
    <n v="10"/>
    <n v="4504.3999999999996"/>
    <n v="40539.599999999999"/>
    <x v="0"/>
    <x v="0"/>
    <n v="26"/>
    <n v="10540.296"/>
  </r>
  <r>
    <s v="ORD1157"/>
    <x v="128"/>
    <s v="Manoj Kumar"/>
    <s v="CUST300"/>
    <x v="1"/>
    <x v="0"/>
    <x v="1"/>
    <x v="0"/>
    <x v="5"/>
    <s v="Nike Shoes"/>
    <s v="PROD4420"/>
    <n v="1"/>
    <n v="13906"/>
    <n v="13906"/>
    <n v="5"/>
    <n v="695.3"/>
    <n v="13210.7"/>
    <x v="2"/>
    <x v="1"/>
    <n v="5"/>
    <n v="660.53499999999997"/>
  </r>
  <r>
    <s v="ORD1158"/>
    <x v="129"/>
    <s v="Vikas Singh"/>
    <s v="CUST732"/>
    <x v="3"/>
    <x v="1"/>
    <x v="0"/>
    <x v="2"/>
    <x v="1"/>
    <s v="Polo Shirt"/>
    <s v="PROD2834"/>
    <n v="6"/>
    <n v="29992"/>
    <n v="179952"/>
    <n v="10"/>
    <n v="17995.2"/>
    <n v="161956.79999999999"/>
    <x v="3"/>
    <x v="0"/>
    <n v="17"/>
    <n v="27532.655999999999"/>
  </r>
  <r>
    <s v="ORD1159"/>
    <x v="8"/>
    <s v="Arjun Mehta"/>
    <s v="CUST506"/>
    <x v="0"/>
    <x v="6"/>
    <x v="2"/>
    <x v="0"/>
    <x v="5"/>
    <s v="Boat Headphones"/>
    <s v="PROD2564"/>
    <n v="4"/>
    <n v="2545"/>
    <n v="10180"/>
    <n v="10"/>
    <n v="1018"/>
    <n v="9162"/>
    <x v="1"/>
    <x v="1"/>
    <n v="29"/>
    <n v="2656.98"/>
  </r>
  <r>
    <s v="ORD1160"/>
    <x v="130"/>
    <s v="Riya Das"/>
    <s v="CUST812"/>
    <x v="0"/>
    <x v="1"/>
    <x v="2"/>
    <x v="0"/>
    <x v="5"/>
    <s v="Nike Shoes"/>
    <s v="PROD2511"/>
    <n v="7"/>
    <n v="3322"/>
    <n v="23254"/>
    <n v="10"/>
    <n v="2325.4"/>
    <n v="20928.599999999999"/>
    <x v="3"/>
    <x v="0"/>
    <n v="8"/>
    <n v="1674.288"/>
  </r>
  <r>
    <s v="ORD1161"/>
    <x v="96"/>
    <s v="Sana Khan"/>
    <s v="CUST809"/>
    <x v="1"/>
    <x v="6"/>
    <x v="1"/>
    <x v="0"/>
    <x v="1"/>
    <s v="Basmati Rice"/>
    <s v="PROD6832"/>
    <n v="6"/>
    <n v="23953"/>
    <n v="143718"/>
    <n v="20"/>
    <n v="28743.599999999999"/>
    <n v="114974.39999999999"/>
    <x v="0"/>
    <x v="2"/>
    <n v="9"/>
    <n v="10347.696"/>
  </r>
  <r>
    <s v="ORD1162"/>
    <x v="45"/>
    <s v="Vikas Singh"/>
    <s v="CUST523"/>
    <x v="1"/>
    <x v="2"/>
    <x v="2"/>
    <x v="0"/>
    <x v="2"/>
    <s v="Dell Laptop"/>
    <s v="PROD9739"/>
    <n v="5"/>
    <n v="15089"/>
    <n v="75445"/>
    <n v="20"/>
    <n v="15089"/>
    <n v="60356"/>
    <x v="1"/>
    <x v="1"/>
    <n v="29"/>
    <n v="17503.240000000002"/>
  </r>
  <r>
    <s v="ORD1163"/>
    <x v="131"/>
    <s v="Neha Gupta"/>
    <s v="CUST583"/>
    <x v="2"/>
    <x v="0"/>
    <x v="1"/>
    <x v="1"/>
    <x v="4"/>
    <s v="Basmati Rice"/>
    <s v="PROD3201"/>
    <n v="7"/>
    <n v="20621"/>
    <n v="144347"/>
    <n v="15"/>
    <n v="21652.05"/>
    <n v="122694.95"/>
    <x v="3"/>
    <x v="0"/>
    <n v="21"/>
    <n v="25765.9395"/>
  </r>
  <r>
    <s v="ORD1164"/>
    <x v="79"/>
    <s v="Rohit Verma"/>
    <s v="CUST820"/>
    <x v="3"/>
    <x v="3"/>
    <x v="1"/>
    <x v="2"/>
    <x v="4"/>
    <s v="Basmati Rice"/>
    <s v="PROD7789"/>
    <n v="7"/>
    <n v="25699"/>
    <n v="179893"/>
    <n v="10"/>
    <n v="17989.3"/>
    <n v="161903.70000000001"/>
    <x v="0"/>
    <x v="2"/>
    <n v="25"/>
    <n v="40475.925000000003"/>
  </r>
  <r>
    <s v="ORD1165"/>
    <x v="74"/>
    <s v="Rohit Verma"/>
    <s v="CUST673"/>
    <x v="3"/>
    <x v="5"/>
    <x v="2"/>
    <x v="1"/>
    <x v="1"/>
    <s v="Nike Shoes"/>
    <s v="PROD8138"/>
    <n v="2"/>
    <n v="22580"/>
    <n v="45160"/>
    <n v="5"/>
    <n v="2258"/>
    <n v="42902"/>
    <x v="2"/>
    <x v="2"/>
    <n v="19"/>
    <n v="8151.38"/>
  </r>
  <r>
    <s v="ORD1166"/>
    <x v="132"/>
    <s v="Amit Sharma"/>
    <s v="CUST275"/>
    <x v="3"/>
    <x v="1"/>
    <x v="1"/>
    <x v="0"/>
    <x v="5"/>
    <s v="Polo Shirt"/>
    <s v="PROD7280"/>
    <n v="7"/>
    <n v="49212"/>
    <n v="344484"/>
    <n v="0"/>
    <n v="0"/>
    <n v="344484"/>
    <x v="0"/>
    <x v="2"/>
    <n v="12"/>
    <n v="41338.080000000002"/>
  </r>
  <r>
    <s v="ORD1167"/>
    <x v="56"/>
    <s v="Riya Das"/>
    <s v="CUST654"/>
    <x v="3"/>
    <x v="6"/>
    <x v="0"/>
    <x v="0"/>
    <x v="5"/>
    <s v="Polo Shirt"/>
    <s v="PROD3600"/>
    <n v="2"/>
    <n v="17796"/>
    <n v="35592"/>
    <n v="15"/>
    <n v="5338.8"/>
    <n v="30253.200000000001"/>
    <x v="1"/>
    <x v="2"/>
    <n v="23"/>
    <n v="6958.2359999999999"/>
  </r>
  <r>
    <s v="ORD1168"/>
    <x v="133"/>
    <s v="Rohit Verma"/>
    <s v="CUST505"/>
    <x v="1"/>
    <x v="3"/>
    <x v="0"/>
    <x v="0"/>
    <x v="2"/>
    <s v="Basmati Rice"/>
    <s v="PROD5915"/>
    <n v="7"/>
    <n v="22752"/>
    <n v="159264"/>
    <n v="0"/>
    <n v="0"/>
    <n v="159264"/>
    <x v="1"/>
    <x v="0"/>
    <n v="15"/>
    <n v="23889.599999999999"/>
  </r>
  <r>
    <s v="ORD1169"/>
    <x v="134"/>
    <s v="Sana Khan"/>
    <s v="CUST485"/>
    <x v="1"/>
    <x v="5"/>
    <x v="2"/>
    <x v="0"/>
    <x v="4"/>
    <s v="Dell Laptop"/>
    <s v="PROD8860"/>
    <n v="8"/>
    <n v="18023"/>
    <n v="144184"/>
    <n v="20"/>
    <n v="28836.799999999999"/>
    <n v="115347.2"/>
    <x v="2"/>
    <x v="0"/>
    <n v="10"/>
    <n v="11534.72"/>
  </r>
  <r>
    <s v="ORD1170"/>
    <x v="15"/>
    <s v="Vikas Singh"/>
    <s v="CUST865"/>
    <x v="1"/>
    <x v="5"/>
    <x v="2"/>
    <x v="2"/>
    <x v="0"/>
    <s v="Basmati Rice"/>
    <s v="PROD4822"/>
    <n v="1"/>
    <n v="44419"/>
    <n v="44419"/>
    <n v="15"/>
    <n v="6662.85"/>
    <n v="37756.15"/>
    <x v="0"/>
    <x v="2"/>
    <n v="16"/>
    <n v="6040.9840000000004"/>
  </r>
  <r>
    <s v="ORD1171"/>
    <x v="135"/>
    <s v="Arjun Mehta"/>
    <s v="CUST346"/>
    <x v="3"/>
    <x v="6"/>
    <x v="1"/>
    <x v="0"/>
    <x v="0"/>
    <s v="Polo Shirt"/>
    <s v="PROD8281"/>
    <n v="5"/>
    <n v="39611"/>
    <n v="198055"/>
    <n v="10"/>
    <n v="19805.5"/>
    <n v="178249.5"/>
    <x v="1"/>
    <x v="1"/>
    <n v="22"/>
    <n v="39214.89"/>
  </r>
  <r>
    <s v="ORD1172"/>
    <x v="136"/>
    <s v="Manoj Kumar"/>
    <s v="CUST432"/>
    <x v="1"/>
    <x v="6"/>
    <x v="0"/>
    <x v="1"/>
    <x v="2"/>
    <s v="Polo Shirt"/>
    <s v="PROD6726"/>
    <n v="4"/>
    <n v="28368"/>
    <n v="113472"/>
    <n v="5"/>
    <n v="5673.6"/>
    <n v="107798.39999999999"/>
    <x v="2"/>
    <x v="1"/>
    <n v="28"/>
    <n v="30183.552"/>
  </r>
  <r>
    <s v="ORD1173"/>
    <x v="137"/>
    <s v="Manoj Kumar"/>
    <s v="CUST584"/>
    <x v="2"/>
    <x v="4"/>
    <x v="0"/>
    <x v="2"/>
    <x v="5"/>
    <s v="Dell Laptop"/>
    <s v="PROD3595"/>
    <n v="10"/>
    <n v="31942"/>
    <n v="319420"/>
    <n v="15"/>
    <n v="47913"/>
    <n v="271507"/>
    <x v="1"/>
    <x v="0"/>
    <n v="13"/>
    <n v="35295.910000000003"/>
  </r>
  <r>
    <s v="ORD1174"/>
    <x v="14"/>
    <s v="Priya Nair"/>
    <s v="CUST763"/>
    <x v="1"/>
    <x v="4"/>
    <x v="1"/>
    <x v="1"/>
    <x v="5"/>
    <s v="Dell Laptop"/>
    <s v="PROD6893"/>
    <n v="4"/>
    <n v="43784"/>
    <n v="175136"/>
    <n v="5"/>
    <n v="8756.7999999999993"/>
    <n v="166379.20000000001"/>
    <x v="1"/>
    <x v="1"/>
    <n v="15"/>
    <n v="24956.880000000001"/>
  </r>
  <r>
    <s v="ORD1175"/>
    <x v="138"/>
    <s v="Sana Khan"/>
    <s v="CUST244"/>
    <x v="2"/>
    <x v="6"/>
    <x v="1"/>
    <x v="2"/>
    <x v="5"/>
    <s v="Dell Laptop"/>
    <s v="PROD9932"/>
    <n v="4"/>
    <n v="18103"/>
    <n v="72412"/>
    <n v="0"/>
    <n v="0"/>
    <n v="72412"/>
    <x v="1"/>
    <x v="0"/>
    <n v="12"/>
    <n v="8689.44"/>
  </r>
  <r>
    <s v="ORD1176"/>
    <x v="139"/>
    <s v="Vikas Singh"/>
    <s v="CUST324"/>
    <x v="2"/>
    <x v="7"/>
    <x v="0"/>
    <x v="0"/>
    <x v="3"/>
    <s v="Nike Shoes"/>
    <s v="PROD8067"/>
    <n v="4"/>
    <n v="25264"/>
    <n v="101056"/>
    <n v="5"/>
    <n v="5052.8"/>
    <n v="96003.199999999997"/>
    <x v="0"/>
    <x v="1"/>
    <n v="10"/>
    <n v="9600.32"/>
  </r>
  <r>
    <s v="ORD1177"/>
    <x v="140"/>
    <s v="Vikas Singh"/>
    <s v="CUST198"/>
    <x v="0"/>
    <x v="0"/>
    <x v="1"/>
    <x v="2"/>
    <x v="3"/>
    <s v="Boat Headphones"/>
    <s v="PROD7962"/>
    <n v="10"/>
    <n v="4996"/>
    <n v="49960"/>
    <n v="0"/>
    <n v="0"/>
    <n v="49960"/>
    <x v="1"/>
    <x v="1"/>
    <n v="28"/>
    <n v="13988.8"/>
  </r>
  <r>
    <s v="ORD1178"/>
    <x v="59"/>
    <s v="Sana Khan"/>
    <s v="CUST654"/>
    <x v="3"/>
    <x v="5"/>
    <x v="0"/>
    <x v="2"/>
    <x v="3"/>
    <s v="Basmati Rice"/>
    <s v="PROD5110"/>
    <n v="2"/>
    <n v="7390"/>
    <n v="14780"/>
    <n v="0"/>
    <n v="0"/>
    <n v="14780"/>
    <x v="2"/>
    <x v="2"/>
    <n v="30"/>
    <n v="4434"/>
  </r>
  <r>
    <s v="ORD1179"/>
    <x v="111"/>
    <s v="Sana Khan"/>
    <s v="CUST729"/>
    <x v="0"/>
    <x v="4"/>
    <x v="0"/>
    <x v="1"/>
    <x v="0"/>
    <s v="Dell Laptop"/>
    <s v="PROD4058"/>
    <n v="2"/>
    <n v="47688"/>
    <n v="95376"/>
    <n v="20"/>
    <n v="19075.2"/>
    <n v="76300.800000000003"/>
    <x v="1"/>
    <x v="0"/>
    <n v="17"/>
    <n v="12971.136"/>
  </r>
  <r>
    <s v="ORD1180"/>
    <x v="110"/>
    <s v="Vikas Singh"/>
    <s v="CUST575"/>
    <x v="2"/>
    <x v="3"/>
    <x v="0"/>
    <x v="2"/>
    <x v="0"/>
    <s v="Dell Laptop"/>
    <s v="PROD3278"/>
    <n v="6"/>
    <n v="7888"/>
    <n v="47328"/>
    <n v="0"/>
    <n v="0"/>
    <n v="47328"/>
    <x v="1"/>
    <x v="0"/>
    <n v="25"/>
    <n v="11832"/>
  </r>
  <r>
    <s v="ORD1181"/>
    <x v="141"/>
    <s v="Kiran Patel"/>
    <s v="CUST886"/>
    <x v="3"/>
    <x v="6"/>
    <x v="2"/>
    <x v="1"/>
    <x v="2"/>
    <s v="Nike Shoes"/>
    <s v="PROD3613"/>
    <n v="9"/>
    <n v="14560"/>
    <n v="131040"/>
    <n v="20"/>
    <n v="26208"/>
    <n v="104832"/>
    <x v="2"/>
    <x v="2"/>
    <n v="28"/>
    <n v="29352.959999999999"/>
  </r>
  <r>
    <s v="ORD1182"/>
    <x v="87"/>
    <s v="Kiran Patel"/>
    <s v="CUST704"/>
    <x v="3"/>
    <x v="6"/>
    <x v="0"/>
    <x v="0"/>
    <x v="2"/>
    <s v="Boat Headphones"/>
    <s v="PROD1508"/>
    <n v="8"/>
    <n v="7242"/>
    <n v="57936"/>
    <n v="20"/>
    <n v="11587.2"/>
    <n v="46348.800000000003"/>
    <x v="1"/>
    <x v="2"/>
    <n v="26"/>
    <n v="12050.688"/>
  </r>
  <r>
    <s v="ORD1183"/>
    <x v="1"/>
    <s v="Sana Khan"/>
    <s v="CUST409"/>
    <x v="0"/>
    <x v="1"/>
    <x v="1"/>
    <x v="0"/>
    <x v="3"/>
    <s v="Boat Headphones"/>
    <s v="PROD2060"/>
    <n v="7"/>
    <n v="19997"/>
    <n v="139979"/>
    <n v="20"/>
    <n v="27995.8"/>
    <n v="111983.2"/>
    <x v="0"/>
    <x v="1"/>
    <n v="9"/>
    <n v="10078.487999999999"/>
  </r>
  <r>
    <s v="ORD1184"/>
    <x v="106"/>
    <s v="Manoj Kumar"/>
    <s v="CUST263"/>
    <x v="3"/>
    <x v="1"/>
    <x v="1"/>
    <x v="1"/>
    <x v="2"/>
    <s v="Nike Shoes"/>
    <s v="PROD8597"/>
    <n v="7"/>
    <n v="21631"/>
    <n v="151417"/>
    <n v="15"/>
    <n v="22712.55"/>
    <n v="128704.45"/>
    <x v="1"/>
    <x v="0"/>
    <n v="27"/>
    <n v="34750.201500000003"/>
  </r>
  <r>
    <s v="ORD1185"/>
    <x v="142"/>
    <s v="Kiran Patel"/>
    <s v="CUST151"/>
    <x v="1"/>
    <x v="5"/>
    <x v="1"/>
    <x v="1"/>
    <x v="1"/>
    <s v="Polo Shirt"/>
    <s v="PROD8144"/>
    <n v="4"/>
    <n v="18395"/>
    <n v="73580"/>
    <n v="0"/>
    <n v="0"/>
    <n v="73580"/>
    <x v="1"/>
    <x v="0"/>
    <n v="12"/>
    <n v="8829.6"/>
  </r>
  <r>
    <s v="ORD1186"/>
    <x v="143"/>
    <s v="Kiran Patel"/>
    <s v="CUST148"/>
    <x v="0"/>
    <x v="4"/>
    <x v="1"/>
    <x v="0"/>
    <x v="4"/>
    <s v="Basmati Rice"/>
    <s v="PROD4201"/>
    <n v="9"/>
    <n v="35348"/>
    <n v="318132"/>
    <n v="15"/>
    <n v="47719.8"/>
    <n v="270412.2"/>
    <x v="2"/>
    <x v="2"/>
    <n v="8"/>
    <n v="21632.975999999999"/>
  </r>
  <r>
    <s v="ORD1187"/>
    <x v="61"/>
    <s v="Amit Sharma"/>
    <s v="CUST694"/>
    <x v="0"/>
    <x v="4"/>
    <x v="2"/>
    <x v="2"/>
    <x v="4"/>
    <s v="Dell Laptop"/>
    <s v="PROD9373"/>
    <n v="7"/>
    <n v="33799"/>
    <n v="236593"/>
    <n v="5"/>
    <n v="11829.65"/>
    <n v="224763.35"/>
    <x v="1"/>
    <x v="2"/>
    <n v="29"/>
    <n v="65181.371500000001"/>
  </r>
  <r>
    <s v="ORD1188"/>
    <x v="144"/>
    <s v="Sana Khan"/>
    <s v="CUST726"/>
    <x v="3"/>
    <x v="5"/>
    <x v="1"/>
    <x v="2"/>
    <x v="0"/>
    <s v="Nike Shoes"/>
    <s v="PROD3961"/>
    <n v="6"/>
    <n v="22160"/>
    <n v="132960"/>
    <n v="10"/>
    <n v="13296"/>
    <n v="119664"/>
    <x v="0"/>
    <x v="2"/>
    <n v="15"/>
    <n v="17949.599999999999"/>
  </r>
  <r>
    <s v="ORD1189"/>
    <x v="145"/>
    <s v="Sana Khan"/>
    <s v="CUST381"/>
    <x v="3"/>
    <x v="0"/>
    <x v="0"/>
    <x v="0"/>
    <x v="2"/>
    <s v="Dell Laptop"/>
    <s v="PROD5551"/>
    <n v="4"/>
    <n v="20908"/>
    <n v="83632"/>
    <n v="0"/>
    <n v="0"/>
    <n v="83632"/>
    <x v="3"/>
    <x v="2"/>
    <n v="8"/>
    <n v="6690.56"/>
  </r>
  <r>
    <s v="ORD1190"/>
    <x v="146"/>
    <s v="Manoj Kumar"/>
    <s v="CUST678"/>
    <x v="1"/>
    <x v="6"/>
    <x v="1"/>
    <x v="0"/>
    <x v="2"/>
    <s v="Nike Shoes"/>
    <s v="PROD5151"/>
    <n v="1"/>
    <n v="42000"/>
    <n v="42000"/>
    <n v="20"/>
    <n v="8400"/>
    <n v="33600"/>
    <x v="2"/>
    <x v="1"/>
    <n v="21"/>
    <n v="7056"/>
  </r>
  <r>
    <s v="ORD1191"/>
    <x v="78"/>
    <s v="Priya Nair"/>
    <s v="CUST870"/>
    <x v="0"/>
    <x v="6"/>
    <x v="0"/>
    <x v="1"/>
    <x v="3"/>
    <s v="iPhone"/>
    <s v="PROD9028"/>
    <n v="6"/>
    <n v="21926"/>
    <n v="131556"/>
    <n v="0"/>
    <n v="0"/>
    <n v="131556"/>
    <x v="2"/>
    <x v="1"/>
    <n v="24"/>
    <n v="31573.439999999999"/>
  </r>
  <r>
    <s v="ORD1192"/>
    <x v="147"/>
    <s v="Amit Sharma"/>
    <s v="CUST442"/>
    <x v="3"/>
    <x v="0"/>
    <x v="2"/>
    <x v="0"/>
    <x v="1"/>
    <s v="Dell Laptop"/>
    <s v="PROD5787"/>
    <n v="10"/>
    <n v="39986"/>
    <n v="399860"/>
    <n v="5"/>
    <n v="19993"/>
    <n v="379867"/>
    <x v="1"/>
    <x v="1"/>
    <n v="19"/>
    <n v="72174.73"/>
  </r>
  <r>
    <s v="ORD1193"/>
    <x v="102"/>
    <s v="Vikas Singh"/>
    <s v="CUST803"/>
    <x v="3"/>
    <x v="7"/>
    <x v="0"/>
    <x v="2"/>
    <x v="2"/>
    <s v="iPhone"/>
    <s v="PROD9596"/>
    <n v="5"/>
    <n v="45166"/>
    <n v="225830"/>
    <n v="20"/>
    <n v="45166"/>
    <n v="180664"/>
    <x v="2"/>
    <x v="0"/>
    <n v="28"/>
    <n v="50585.919999999998"/>
  </r>
  <r>
    <s v="ORD1194"/>
    <x v="18"/>
    <s v="Manoj Kumar"/>
    <s v="CUST182"/>
    <x v="1"/>
    <x v="0"/>
    <x v="0"/>
    <x v="1"/>
    <x v="5"/>
    <s v="Basmati Rice"/>
    <s v="PROD6922"/>
    <n v="4"/>
    <n v="21072"/>
    <n v="84288"/>
    <n v="15"/>
    <n v="12643.2"/>
    <n v="71644.800000000003"/>
    <x v="3"/>
    <x v="1"/>
    <n v="7"/>
    <n v="5015.1360000000004"/>
  </r>
  <r>
    <s v="ORD1195"/>
    <x v="148"/>
    <s v="Neha Gupta"/>
    <s v="CUST153"/>
    <x v="2"/>
    <x v="4"/>
    <x v="2"/>
    <x v="1"/>
    <x v="3"/>
    <s v="Nike Shoes"/>
    <s v="PROD6799"/>
    <n v="6"/>
    <n v="24574"/>
    <n v="147444"/>
    <n v="20"/>
    <n v="29488.799999999999"/>
    <n v="117955.2"/>
    <x v="2"/>
    <x v="1"/>
    <n v="24"/>
    <n v="28309.248"/>
  </r>
  <r>
    <s v="ORD1196"/>
    <x v="133"/>
    <s v="Kiran Patel"/>
    <s v="CUST724"/>
    <x v="1"/>
    <x v="0"/>
    <x v="2"/>
    <x v="0"/>
    <x v="4"/>
    <s v="Nike Shoes"/>
    <s v="PROD8603"/>
    <n v="9"/>
    <n v="18963"/>
    <n v="170667"/>
    <n v="10"/>
    <n v="17066.7"/>
    <n v="153600.29999999999"/>
    <x v="3"/>
    <x v="2"/>
    <n v="20"/>
    <n v="30720.06"/>
  </r>
  <r>
    <s v="ORD1197"/>
    <x v="149"/>
    <s v="Arjun Mehta"/>
    <s v="CUST854"/>
    <x v="0"/>
    <x v="6"/>
    <x v="2"/>
    <x v="1"/>
    <x v="1"/>
    <s v="Dell Laptop"/>
    <s v="PROD5217"/>
    <n v="5"/>
    <n v="45865"/>
    <n v="229325"/>
    <n v="20"/>
    <n v="45865"/>
    <n v="183460"/>
    <x v="0"/>
    <x v="0"/>
    <n v="19"/>
    <n v="34857.4"/>
  </r>
  <r>
    <s v="ORD1198"/>
    <x v="150"/>
    <s v="Manoj Kumar"/>
    <s v="CUST388"/>
    <x v="2"/>
    <x v="5"/>
    <x v="2"/>
    <x v="1"/>
    <x v="1"/>
    <s v="Polo Shirt"/>
    <s v="PROD2377"/>
    <n v="1"/>
    <n v="23633"/>
    <n v="23633"/>
    <n v="5"/>
    <n v="1181.6500000000001"/>
    <n v="22451.35"/>
    <x v="2"/>
    <x v="0"/>
    <n v="7"/>
    <n v="1571.5944999999999"/>
  </r>
  <r>
    <s v="ORD1199"/>
    <x v="151"/>
    <s v="Priya Nair"/>
    <s v="CUST572"/>
    <x v="0"/>
    <x v="4"/>
    <x v="1"/>
    <x v="2"/>
    <x v="0"/>
    <s v="Dell Laptop"/>
    <s v="PROD8035"/>
    <n v="3"/>
    <n v="22719"/>
    <n v="68157"/>
    <n v="10"/>
    <n v="6815.7"/>
    <n v="61341.3"/>
    <x v="3"/>
    <x v="0"/>
    <n v="10"/>
    <n v="6134.13"/>
  </r>
  <r>
    <s v="ORD1200"/>
    <x v="152"/>
    <s v="Neha Gupta"/>
    <s v="CUST166"/>
    <x v="3"/>
    <x v="2"/>
    <x v="2"/>
    <x v="0"/>
    <x v="5"/>
    <s v="Basmati Rice"/>
    <s v="PROD1505"/>
    <n v="8"/>
    <n v="7271"/>
    <n v="58168"/>
    <n v="20"/>
    <n v="11633.6"/>
    <n v="46534.400000000001"/>
    <x v="3"/>
    <x v="0"/>
    <n v="11"/>
    <n v="5118.7840000000006"/>
  </r>
  <r>
    <s v="ORD1201"/>
    <x v="153"/>
    <s v="Manoj Kumar"/>
    <s v="CUST812"/>
    <x v="2"/>
    <x v="4"/>
    <x v="0"/>
    <x v="0"/>
    <x v="2"/>
    <s v="iPhone"/>
    <s v="PROD8755"/>
    <n v="3"/>
    <n v="16014"/>
    <n v="48042"/>
    <n v="5"/>
    <n v="2402.1"/>
    <n v="45639.9"/>
    <x v="1"/>
    <x v="1"/>
    <n v="19"/>
    <n v="8671.5810000000001"/>
  </r>
  <r>
    <s v="ORD1202"/>
    <x v="154"/>
    <s v="Neha Gupta"/>
    <s v="CUST397"/>
    <x v="3"/>
    <x v="3"/>
    <x v="1"/>
    <x v="1"/>
    <x v="1"/>
    <s v="Basmati Rice"/>
    <s v="PROD4926"/>
    <n v="8"/>
    <n v="27485"/>
    <n v="219880"/>
    <n v="20"/>
    <n v="43976"/>
    <n v="175904"/>
    <x v="1"/>
    <x v="0"/>
    <n v="12"/>
    <n v="21108.48"/>
  </r>
  <r>
    <s v="ORD1203"/>
    <x v="126"/>
    <s v="Amit Sharma"/>
    <s v="CUST832"/>
    <x v="0"/>
    <x v="3"/>
    <x v="1"/>
    <x v="2"/>
    <x v="1"/>
    <s v="iPhone"/>
    <s v="PROD1006"/>
    <n v="7"/>
    <n v="34849"/>
    <n v="243943"/>
    <n v="10"/>
    <n v="24394.3"/>
    <n v="219548.7"/>
    <x v="2"/>
    <x v="1"/>
    <n v="26"/>
    <n v="57082.661999999997"/>
  </r>
  <r>
    <s v="ORD1204"/>
    <x v="76"/>
    <s v="Amit Sharma"/>
    <s v="CUST221"/>
    <x v="2"/>
    <x v="5"/>
    <x v="1"/>
    <x v="1"/>
    <x v="3"/>
    <s v="Basmati Rice"/>
    <s v="PROD2526"/>
    <n v="9"/>
    <n v="14419"/>
    <n v="129771"/>
    <n v="10"/>
    <n v="12977.1"/>
    <n v="116793.9"/>
    <x v="1"/>
    <x v="1"/>
    <n v="11"/>
    <n v="12847.329"/>
  </r>
  <r>
    <s v="ORD1205"/>
    <x v="39"/>
    <s v="Arjun Mehta"/>
    <s v="CUST214"/>
    <x v="3"/>
    <x v="1"/>
    <x v="0"/>
    <x v="0"/>
    <x v="1"/>
    <s v="iPhone"/>
    <s v="PROD2077"/>
    <n v="7"/>
    <n v="8890"/>
    <n v="62230"/>
    <n v="15"/>
    <n v="9334.5"/>
    <n v="52895.5"/>
    <x v="1"/>
    <x v="2"/>
    <n v="18"/>
    <n v="9521.19"/>
  </r>
  <r>
    <s v="ORD1206"/>
    <x v="155"/>
    <s v="Sana Khan"/>
    <s v="CUST631"/>
    <x v="1"/>
    <x v="4"/>
    <x v="0"/>
    <x v="1"/>
    <x v="4"/>
    <s v="Nike Shoes"/>
    <s v="PROD6204"/>
    <n v="7"/>
    <n v="18425"/>
    <n v="128975"/>
    <n v="10"/>
    <n v="12897.5"/>
    <n v="116077.5"/>
    <x v="0"/>
    <x v="2"/>
    <n v="13"/>
    <n v="15090.075000000001"/>
  </r>
  <r>
    <s v="ORD1207"/>
    <x v="56"/>
    <s v="Sana Khan"/>
    <s v="CUST764"/>
    <x v="2"/>
    <x v="7"/>
    <x v="0"/>
    <x v="1"/>
    <x v="1"/>
    <s v="Nike Shoes"/>
    <s v="PROD1657"/>
    <n v="9"/>
    <n v="47838"/>
    <n v="430542"/>
    <n v="5"/>
    <n v="21527.1"/>
    <n v="409014.9"/>
    <x v="3"/>
    <x v="1"/>
    <n v="15"/>
    <n v="61352.235000000001"/>
  </r>
  <r>
    <s v="ORD1208"/>
    <x v="156"/>
    <s v="Manoj Kumar"/>
    <s v="CUST578"/>
    <x v="3"/>
    <x v="6"/>
    <x v="2"/>
    <x v="2"/>
    <x v="4"/>
    <s v="Nike Shoes"/>
    <s v="PROD1820"/>
    <n v="3"/>
    <n v="21216"/>
    <n v="63648"/>
    <n v="20"/>
    <n v="12729.6"/>
    <n v="50918.400000000001"/>
    <x v="2"/>
    <x v="1"/>
    <n v="9"/>
    <n v="4582.6559999999999"/>
  </r>
  <r>
    <s v="ORD1209"/>
    <x v="21"/>
    <s v="Manoj Kumar"/>
    <s v="CUST527"/>
    <x v="2"/>
    <x v="7"/>
    <x v="1"/>
    <x v="1"/>
    <x v="3"/>
    <s v="Polo Shirt"/>
    <s v="PROD2823"/>
    <n v="10"/>
    <n v="45311"/>
    <n v="453110"/>
    <n v="20"/>
    <n v="90622"/>
    <n v="362488"/>
    <x v="1"/>
    <x v="1"/>
    <n v="10"/>
    <n v="36248.800000000003"/>
  </r>
  <r>
    <s v="ORD1210"/>
    <x v="20"/>
    <s v="Kiran Patel"/>
    <s v="CUST577"/>
    <x v="3"/>
    <x v="2"/>
    <x v="2"/>
    <x v="0"/>
    <x v="0"/>
    <s v="Boat Headphones"/>
    <s v="PROD1662"/>
    <n v="3"/>
    <n v="41119"/>
    <n v="123357"/>
    <n v="0"/>
    <n v="0"/>
    <n v="123357"/>
    <x v="2"/>
    <x v="0"/>
    <n v="21"/>
    <n v="25904.97"/>
  </r>
  <r>
    <s v="ORD1211"/>
    <x v="157"/>
    <s v="Vikas Singh"/>
    <s v="CUST472"/>
    <x v="0"/>
    <x v="5"/>
    <x v="1"/>
    <x v="1"/>
    <x v="4"/>
    <s v="Basmati Rice"/>
    <s v="PROD4783"/>
    <n v="3"/>
    <n v="14105"/>
    <n v="42315"/>
    <n v="15"/>
    <n v="6347.25"/>
    <n v="35967.75"/>
    <x v="1"/>
    <x v="0"/>
    <n v="7"/>
    <n v="2517.7424999999998"/>
  </r>
  <r>
    <s v="ORD1212"/>
    <x v="30"/>
    <s v="Rohit Verma"/>
    <s v="CUST364"/>
    <x v="1"/>
    <x v="7"/>
    <x v="1"/>
    <x v="2"/>
    <x v="5"/>
    <s v="iPhone"/>
    <s v="PROD1303"/>
    <n v="1"/>
    <n v="41684"/>
    <n v="41684"/>
    <n v="15"/>
    <n v="6252.6"/>
    <n v="35431.4"/>
    <x v="3"/>
    <x v="0"/>
    <n v="29"/>
    <n v="10275.106"/>
  </r>
  <r>
    <s v="ORD1213"/>
    <x v="158"/>
    <s v="Kiran Patel"/>
    <s v="CUST344"/>
    <x v="2"/>
    <x v="7"/>
    <x v="0"/>
    <x v="2"/>
    <x v="4"/>
    <s v="Dell Laptop"/>
    <s v="PROD9458"/>
    <n v="1"/>
    <n v="19581"/>
    <n v="19581"/>
    <n v="20"/>
    <n v="3916.2"/>
    <n v="15664.8"/>
    <x v="3"/>
    <x v="2"/>
    <n v="18"/>
    <n v="2819.6640000000002"/>
  </r>
  <r>
    <s v="ORD1214"/>
    <x v="45"/>
    <s v="Riya Das"/>
    <s v="CUST732"/>
    <x v="2"/>
    <x v="3"/>
    <x v="2"/>
    <x v="2"/>
    <x v="3"/>
    <s v="Basmati Rice"/>
    <s v="PROD7621"/>
    <n v="9"/>
    <n v="31047"/>
    <n v="279423"/>
    <n v="10"/>
    <n v="27942.3"/>
    <n v="251480.7"/>
    <x v="1"/>
    <x v="2"/>
    <n v="20"/>
    <n v="50296.14"/>
  </r>
  <r>
    <s v="ORD1215"/>
    <x v="159"/>
    <s v="Riya Das"/>
    <s v="CUST934"/>
    <x v="1"/>
    <x v="7"/>
    <x v="2"/>
    <x v="2"/>
    <x v="3"/>
    <s v="Nike Shoes"/>
    <s v="PROD2442"/>
    <n v="10"/>
    <n v="40819"/>
    <n v="408190"/>
    <n v="5"/>
    <n v="20409.5"/>
    <n v="387780.5"/>
    <x v="2"/>
    <x v="1"/>
    <n v="7"/>
    <n v="27144.634999999998"/>
  </r>
  <r>
    <s v="ORD1216"/>
    <x v="160"/>
    <s v="Kiran Patel"/>
    <s v="CUST286"/>
    <x v="1"/>
    <x v="7"/>
    <x v="2"/>
    <x v="2"/>
    <x v="0"/>
    <s v="Boat Headphones"/>
    <s v="PROD3977"/>
    <n v="6"/>
    <n v="9510"/>
    <n v="57060"/>
    <n v="5"/>
    <n v="2853"/>
    <n v="54207"/>
    <x v="1"/>
    <x v="0"/>
    <n v="6"/>
    <n v="3252.42"/>
  </r>
  <r>
    <s v="ORD1217"/>
    <x v="66"/>
    <s v="Vikas Singh"/>
    <s v="CUST313"/>
    <x v="3"/>
    <x v="1"/>
    <x v="0"/>
    <x v="1"/>
    <x v="2"/>
    <s v="Boat Headphones"/>
    <s v="PROD2024"/>
    <n v="2"/>
    <n v="46026"/>
    <n v="92052"/>
    <n v="0"/>
    <n v="0"/>
    <n v="92052"/>
    <x v="3"/>
    <x v="1"/>
    <n v="15"/>
    <n v="13807.8"/>
  </r>
  <r>
    <s v="ORD1218"/>
    <x v="161"/>
    <s v="Rohit Verma"/>
    <s v="CUST904"/>
    <x v="0"/>
    <x v="7"/>
    <x v="0"/>
    <x v="0"/>
    <x v="0"/>
    <s v="iPhone"/>
    <s v="PROD4718"/>
    <n v="6"/>
    <n v="22358"/>
    <n v="134148"/>
    <n v="20"/>
    <n v="26829.599999999999"/>
    <n v="107318.39999999999"/>
    <x v="3"/>
    <x v="1"/>
    <n v="27"/>
    <n v="28975.968000000001"/>
  </r>
  <r>
    <s v="ORD1219"/>
    <x v="7"/>
    <s v="Riya Das"/>
    <s v="CUST578"/>
    <x v="1"/>
    <x v="7"/>
    <x v="2"/>
    <x v="1"/>
    <x v="1"/>
    <s v="Boat Headphones"/>
    <s v="PROD5185"/>
    <n v="2"/>
    <n v="6159"/>
    <n v="12318"/>
    <n v="15"/>
    <n v="1847.7"/>
    <n v="10470.299999999999"/>
    <x v="2"/>
    <x v="1"/>
    <n v="5"/>
    <n v="523.51499999999999"/>
  </r>
  <r>
    <s v="ORD1220"/>
    <x v="162"/>
    <s v="Vikas Singh"/>
    <s v="CUST527"/>
    <x v="0"/>
    <x v="2"/>
    <x v="1"/>
    <x v="1"/>
    <x v="5"/>
    <s v="iPhone"/>
    <s v="PROD9520"/>
    <n v="4"/>
    <n v="22942"/>
    <n v="91768"/>
    <n v="15"/>
    <n v="13765.2"/>
    <n v="78002.8"/>
    <x v="3"/>
    <x v="1"/>
    <n v="23"/>
    <n v="17940.644"/>
  </r>
  <r>
    <s v="ORD1221"/>
    <x v="144"/>
    <s v="Kiran Patel"/>
    <s v="CUST288"/>
    <x v="1"/>
    <x v="0"/>
    <x v="2"/>
    <x v="2"/>
    <x v="4"/>
    <s v="Polo Shirt"/>
    <s v="PROD3485"/>
    <n v="5"/>
    <n v="47885"/>
    <n v="239425"/>
    <n v="5"/>
    <n v="11971.25"/>
    <n v="227453.75"/>
    <x v="0"/>
    <x v="1"/>
    <n v="25"/>
    <n v="56863.4375"/>
  </r>
  <r>
    <s v="ORD1222"/>
    <x v="163"/>
    <s v="Sana Khan"/>
    <s v="CUST562"/>
    <x v="2"/>
    <x v="7"/>
    <x v="1"/>
    <x v="1"/>
    <x v="4"/>
    <s v="Polo Shirt"/>
    <s v="PROD1042"/>
    <n v="8"/>
    <n v="41341"/>
    <n v="330728"/>
    <n v="0"/>
    <n v="0"/>
    <n v="330728"/>
    <x v="3"/>
    <x v="1"/>
    <n v="26"/>
    <n v="85989.28"/>
  </r>
  <r>
    <s v="ORD1223"/>
    <x v="164"/>
    <s v="Vikas Singh"/>
    <s v="CUST830"/>
    <x v="1"/>
    <x v="6"/>
    <x v="2"/>
    <x v="1"/>
    <x v="3"/>
    <s v="Dell Laptop"/>
    <s v="PROD8322"/>
    <n v="7"/>
    <n v="22276"/>
    <n v="155932"/>
    <n v="10"/>
    <n v="15593.2"/>
    <n v="140338.79999999999"/>
    <x v="2"/>
    <x v="1"/>
    <n v="14"/>
    <n v="19647.432000000001"/>
  </r>
  <r>
    <s v="ORD1224"/>
    <x v="165"/>
    <s v="Manoj Kumar"/>
    <s v="CUST281"/>
    <x v="1"/>
    <x v="5"/>
    <x v="1"/>
    <x v="0"/>
    <x v="1"/>
    <s v="Nike Shoes"/>
    <s v="PROD7942"/>
    <n v="7"/>
    <n v="40755"/>
    <n v="285285"/>
    <n v="0"/>
    <n v="0"/>
    <n v="285285"/>
    <x v="0"/>
    <x v="0"/>
    <n v="14"/>
    <n v="39939.9"/>
  </r>
  <r>
    <s v="ORD1225"/>
    <x v="83"/>
    <s v="Manoj Kumar"/>
    <s v="CUST868"/>
    <x v="3"/>
    <x v="6"/>
    <x v="2"/>
    <x v="2"/>
    <x v="5"/>
    <s v="Basmati Rice"/>
    <s v="PROD4982"/>
    <n v="8"/>
    <n v="38112"/>
    <n v="304896"/>
    <n v="10"/>
    <n v="30489.599999999999"/>
    <n v="274406.40000000002"/>
    <x v="1"/>
    <x v="1"/>
    <n v="14"/>
    <n v="38416.896000000008"/>
  </r>
  <r>
    <s v="ORD1226"/>
    <x v="166"/>
    <s v="Sana Khan"/>
    <s v="CUST434"/>
    <x v="0"/>
    <x v="7"/>
    <x v="0"/>
    <x v="1"/>
    <x v="4"/>
    <s v="Dell Laptop"/>
    <s v="PROD1017"/>
    <n v="8"/>
    <n v="18356"/>
    <n v="146848"/>
    <n v="5"/>
    <n v="7342.4"/>
    <n v="139505.60000000001"/>
    <x v="0"/>
    <x v="0"/>
    <n v="7"/>
    <n v="9765.3919999999998"/>
  </r>
  <r>
    <s v="ORD1227"/>
    <x v="167"/>
    <s v="Rohit Verma"/>
    <s v="CUST684"/>
    <x v="0"/>
    <x v="5"/>
    <x v="1"/>
    <x v="0"/>
    <x v="4"/>
    <s v="Polo Shirt"/>
    <s v="PROD1141"/>
    <n v="3"/>
    <n v="5074"/>
    <n v="15222"/>
    <n v="5"/>
    <n v="761.1"/>
    <n v="14460.9"/>
    <x v="3"/>
    <x v="0"/>
    <n v="22"/>
    <n v="3181.3980000000001"/>
  </r>
  <r>
    <s v="ORD1228"/>
    <x v="18"/>
    <s v="Priya Nair"/>
    <s v="CUST401"/>
    <x v="1"/>
    <x v="3"/>
    <x v="0"/>
    <x v="0"/>
    <x v="0"/>
    <s v="iPhone"/>
    <s v="PROD1009"/>
    <n v="8"/>
    <n v="49484"/>
    <n v="395872"/>
    <n v="15"/>
    <n v="59380.800000000003"/>
    <n v="336491.2"/>
    <x v="1"/>
    <x v="1"/>
    <n v="29"/>
    <n v="97582.448000000004"/>
  </r>
  <r>
    <s v="ORD1229"/>
    <x v="145"/>
    <s v="Riya Das"/>
    <s v="CUST190"/>
    <x v="0"/>
    <x v="7"/>
    <x v="1"/>
    <x v="1"/>
    <x v="4"/>
    <s v="Dell Laptop"/>
    <s v="PROD9909"/>
    <n v="5"/>
    <n v="19136"/>
    <n v="95680"/>
    <n v="10"/>
    <n v="9568"/>
    <n v="86112"/>
    <x v="3"/>
    <x v="0"/>
    <n v="12"/>
    <n v="10333.44"/>
  </r>
  <r>
    <s v="ORD1230"/>
    <x v="8"/>
    <s v="Manoj Kumar"/>
    <s v="CUST149"/>
    <x v="0"/>
    <x v="2"/>
    <x v="1"/>
    <x v="1"/>
    <x v="0"/>
    <s v="Basmati Rice"/>
    <s v="PROD4019"/>
    <n v="9"/>
    <n v="32305"/>
    <n v="290745"/>
    <n v="20"/>
    <n v="58149"/>
    <n v="232596"/>
    <x v="2"/>
    <x v="1"/>
    <n v="20"/>
    <n v="46519.199999999997"/>
  </r>
  <r>
    <s v="ORD1231"/>
    <x v="36"/>
    <s v="Amit Sharma"/>
    <s v="CUST501"/>
    <x v="2"/>
    <x v="0"/>
    <x v="1"/>
    <x v="1"/>
    <x v="3"/>
    <s v="Nike Shoes"/>
    <s v="PROD2088"/>
    <n v="9"/>
    <n v="45658"/>
    <n v="410922"/>
    <n v="20"/>
    <n v="82184.399999999994"/>
    <n v="328737.59999999998"/>
    <x v="0"/>
    <x v="2"/>
    <n v="11"/>
    <n v="36161.135999999999"/>
  </r>
  <r>
    <s v="ORD1232"/>
    <x v="168"/>
    <s v="Sana Khan"/>
    <s v="CUST400"/>
    <x v="2"/>
    <x v="2"/>
    <x v="0"/>
    <x v="0"/>
    <x v="5"/>
    <s v="iPhone"/>
    <s v="PROD9694"/>
    <n v="6"/>
    <n v="46344"/>
    <n v="278064"/>
    <n v="15"/>
    <n v="41709.599999999999"/>
    <n v="236354.4"/>
    <x v="2"/>
    <x v="1"/>
    <n v="23"/>
    <n v="54361.512000000002"/>
  </r>
  <r>
    <s v="ORD1233"/>
    <x v="169"/>
    <s v="Vikas Singh"/>
    <s v="CUST324"/>
    <x v="1"/>
    <x v="3"/>
    <x v="0"/>
    <x v="1"/>
    <x v="3"/>
    <s v="Dell Laptop"/>
    <s v="PROD9219"/>
    <n v="1"/>
    <n v="41175"/>
    <n v="41175"/>
    <n v="0"/>
    <n v="0"/>
    <n v="41175"/>
    <x v="3"/>
    <x v="1"/>
    <n v="29"/>
    <n v="11940.75"/>
  </r>
  <r>
    <s v="ORD1234"/>
    <x v="139"/>
    <s v="Vikas Singh"/>
    <s v="CUST298"/>
    <x v="1"/>
    <x v="0"/>
    <x v="1"/>
    <x v="1"/>
    <x v="3"/>
    <s v="iPhone"/>
    <s v="PROD5315"/>
    <n v="6"/>
    <n v="8296"/>
    <n v="49776"/>
    <n v="10"/>
    <n v="4977.6000000000004"/>
    <n v="44798.400000000001"/>
    <x v="0"/>
    <x v="2"/>
    <n v="26"/>
    <n v="11647.584000000001"/>
  </r>
  <r>
    <s v="ORD1235"/>
    <x v="150"/>
    <s v="Amit Sharma"/>
    <s v="CUST416"/>
    <x v="3"/>
    <x v="1"/>
    <x v="0"/>
    <x v="2"/>
    <x v="2"/>
    <s v="Boat Headphones"/>
    <s v="PROD2109"/>
    <n v="4"/>
    <n v="16170"/>
    <n v="64680"/>
    <n v="0"/>
    <n v="0"/>
    <n v="64680"/>
    <x v="1"/>
    <x v="1"/>
    <n v="8"/>
    <n v="5174.3999999999996"/>
  </r>
  <r>
    <s v="ORD1236"/>
    <x v="163"/>
    <s v="Neha Gupta"/>
    <s v="CUST445"/>
    <x v="3"/>
    <x v="1"/>
    <x v="0"/>
    <x v="0"/>
    <x v="1"/>
    <s v="Boat Headphones"/>
    <s v="PROD7713"/>
    <n v="4"/>
    <n v="25839"/>
    <n v="103356"/>
    <n v="20"/>
    <n v="20671.2"/>
    <n v="82684.800000000003"/>
    <x v="1"/>
    <x v="2"/>
    <n v="27"/>
    <n v="22324.896000000001"/>
  </r>
  <r>
    <s v="ORD1237"/>
    <x v="170"/>
    <s v="Arjun Mehta"/>
    <s v="CUST209"/>
    <x v="0"/>
    <x v="7"/>
    <x v="2"/>
    <x v="2"/>
    <x v="3"/>
    <s v="Boat Headphones"/>
    <s v="PROD1755"/>
    <n v="4"/>
    <n v="40315"/>
    <n v="161260"/>
    <n v="0"/>
    <n v="0"/>
    <n v="161260"/>
    <x v="2"/>
    <x v="0"/>
    <n v="7"/>
    <n v="11288.2"/>
  </r>
  <r>
    <s v="ORD1238"/>
    <x v="171"/>
    <s v="Riya Das"/>
    <s v="CUST783"/>
    <x v="2"/>
    <x v="5"/>
    <x v="2"/>
    <x v="0"/>
    <x v="1"/>
    <s v="iPhone"/>
    <s v="PROD7420"/>
    <n v="8"/>
    <n v="24741"/>
    <n v="197928"/>
    <n v="20"/>
    <n v="39585.599999999999"/>
    <n v="158342.39999999999"/>
    <x v="2"/>
    <x v="2"/>
    <n v="7"/>
    <n v="11083.968000000001"/>
  </r>
  <r>
    <s v="ORD1239"/>
    <x v="172"/>
    <s v="Manoj Kumar"/>
    <s v="CUST357"/>
    <x v="3"/>
    <x v="5"/>
    <x v="1"/>
    <x v="1"/>
    <x v="2"/>
    <s v="Dell Laptop"/>
    <s v="PROD2434"/>
    <n v="8"/>
    <n v="40695"/>
    <n v="325560"/>
    <n v="5"/>
    <n v="16278"/>
    <n v="309282"/>
    <x v="2"/>
    <x v="0"/>
    <n v="17"/>
    <n v="52577.94"/>
  </r>
  <r>
    <s v="ORD1240"/>
    <x v="173"/>
    <s v="Arjun Mehta"/>
    <s v="CUST574"/>
    <x v="0"/>
    <x v="3"/>
    <x v="1"/>
    <x v="0"/>
    <x v="1"/>
    <s v="Boat Headphones"/>
    <s v="PROD7344"/>
    <n v="5"/>
    <n v="29194"/>
    <n v="145970"/>
    <n v="15"/>
    <n v="21895.5"/>
    <n v="124074.5"/>
    <x v="3"/>
    <x v="1"/>
    <n v="17"/>
    <n v="21092.665000000001"/>
  </r>
  <r>
    <s v="ORD1241"/>
    <x v="102"/>
    <s v="Riya Das"/>
    <s v="CUST249"/>
    <x v="3"/>
    <x v="7"/>
    <x v="2"/>
    <x v="2"/>
    <x v="3"/>
    <s v="iPhone"/>
    <s v="PROD3691"/>
    <n v="1"/>
    <n v="24262"/>
    <n v="24262"/>
    <n v="20"/>
    <n v="4852.3999999999996"/>
    <n v="19409.599999999999"/>
    <x v="3"/>
    <x v="0"/>
    <n v="10"/>
    <n v="1940.96"/>
  </r>
  <r>
    <s v="ORD1242"/>
    <x v="174"/>
    <s v="Riya Das"/>
    <s v="CUST439"/>
    <x v="3"/>
    <x v="6"/>
    <x v="1"/>
    <x v="2"/>
    <x v="1"/>
    <s v="iPhone"/>
    <s v="PROD5687"/>
    <n v="7"/>
    <n v="30661"/>
    <n v="214627"/>
    <n v="15"/>
    <n v="32194.05"/>
    <n v="182432.95"/>
    <x v="1"/>
    <x v="0"/>
    <n v="16"/>
    <n v="29189.272000000001"/>
  </r>
  <r>
    <s v="ORD1243"/>
    <x v="175"/>
    <s v="Amit Sharma"/>
    <s v="CUST346"/>
    <x v="3"/>
    <x v="3"/>
    <x v="1"/>
    <x v="0"/>
    <x v="5"/>
    <s v="Basmati Rice"/>
    <s v="PROD3856"/>
    <n v="8"/>
    <n v="31021"/>
    <n v="248168"/>
    <n v="10"/>
    <n v="24816.799999999999"/>
    <n v="223351.2"/>
    <x v="0"/>
    <x v="0"/>
    <n v="21"/>
    <n v="46903.752"/>
  </r>
  <r>
    <s v="ORD1244"/>
    <x v="89"/>
    <s v="Manoj Kumar"/>
    <s v="CUST283"/>
    <x v="0"/>
    <x v="2"/>
    <x v="0"/>
    <x v="2"/>
    <x v="2"/>
    <s v="Nike Shoes"/>
    <s v="PROD6390"/>
    <n v="7"/>
    <n v="26397"/>
    <n v="184779"/>
    <n v="10"/>
    <n v="18477.900000000001"/>
    <n v="166301.1"/>
    <x v="0"/>
    <x v="2"/>
    <n v="6"/>
    <n v="9978.0660000000007"/>
  </r>
  <r>
    <s v="ORD1245"/>
    <x v="125"/>
    <s v="Manoj Kumar"/>
    <s v="CUST201"/>
    <x v="2"/>
    <x v="1"/>
    <x v="2"/>
    <x v="0"/>
    <x v="5"/>
    <s v="Dell Laptop"/>
    <s v="PROD2610"/>
    <n v="2"/>
    <n v="9798"/>
    <n v="19596"/>
    <n v="0"/>
    <n v="0"/>
    <n v="19596"/>
    <x v="1"/>
    <x v="2"/>
    <n v="16"/>
    <n v="3135.36"/>
  </r>
  <r>
    <s v="ORD1246"/>
    <x v="176"/>
    <s v="Neha Gupta"/>
    <s v="CUST460"/>
    <x v="2"/>
    <x v="5"/>
    <x v="0"/>
    <x v="1"/>
    <x v="0"/>
    <s v="iPhone"/>
    <s v="PROD8812"/>
    <n v="4"/>
    <n v="6226"/>
    <n v="24904"/>
    <n v="0"/>
    <n v="0"/>
    <n v="24904"/>
    <x v="2"/>
    <x v="0"/>
    <n v="21"/>
    <n v="5229.84"/>
  </r>
  <r>
    <s v="ORD1247"/>
    <x v="177"/>
    <s v="Amit Sharma"/>
    <s v="CUST486"/>
    <x v="3"/>
    <x v="7"/>
    <x v="0"/>
    <x v="0"/>
    <x v="4"/>
    <s v="Basmati Rice"/>
    <s v="PROD3906"/>
    <n v="6"/>
    <n v="46778"/>
    <n v="280668"/>
    <n v="10"/>
    <n v="28066.799999999999"/>
    <n v="252601.2"/>
    <x v="3"/>
    <x v="1"/>
    <n v="6"/>
    <n v="15156.072"/>
  </r>
  <r>
    <s v="ORD1248"/>
    <x v="178"/>
    <s v="Sana Khan"/>
    <s v="CUST191"/>
    <x v="3"/>
    <x v="5"/>
    <x v="2"/>
    <x v="1"/>
    <x v="3"/>
    <s v="Dell Laptop"/>
    <s v="PROD3201"/>
    <n v="9"/>
    <n v="27242"/>
    <n v="245178"/>
    <n v="20"/>
    <n v="49035.6"/>
    <n v="196142.4"/>
    <x v="1"/>
    <x v="2"/>
    <n v="8"/>
    <n v="15691.392"/>
  </r>
  <r>
    <s v="ORD1249"/>
    <x v="179"/>
    <s v="Manoj Kumar"/>
    <s v="CUST269"/>
    <x v="3"/>
    <x v="5"/>
    <x v="0"/>
    <x v="1"/>
    <x v="3"/>
    <s v="iPhone"/>
    <s v="PROD9301"/>
    <n v="9"/>
    <n v="41180"/>
    <n v="370620"/>
    <n v="10"/>
    <n v="37062"/>
    <n v="333558"/>
    <x v="1"/>
    <x v="2"/>
    <n v="22"/>
    <n v="73382.759999999995"/>
  </r>
  <r>
    <s v="ORD1250"/>
    <x v="180"/>
    <s v="Rohit Verma"/>
    <s v="CUST119"/>
    <x v="2"/>
    <x v="7"/>
    <x v="2"/>
    <x v="1"/>
    <x v="4"/>
    <s v="iPhone"/>
    <s v="PROD6275"/>
    <n v="1"/>
    <n v="27030"/>
    <n v="27030"/>
    <n v="0"/>
    <n v="0"/>
    <n v="27030"/>
    <x v="3"/>
    <x v="2"/>
    <n v="30"/>
    <n v="8109"/>
  </r>
  <r>
    <s v="ORD1251"/>
    <x v="181"/>
    <s v="Sana Khan"/>
    <s v="CUST631"/>
    <x v="2"/>
    <x v="3"/>
    <x v="1"/>
    <x v="1"/>
    <x v="0"/>
    <s v="Basmati Rice"/>
    <s v="PROD8341"/>
    <n v="2"/>
    <n v="7201"/>
    <n v="14402"/>
    <n v="15"/>
    <n v="2160.3000000000002"/>
    <n v="12241.7"/>
    <x v="3"/>
    <x v="0"/>
    <n v="28"/>
    <n v="3427.6759999999999"/>
  </r>
  <r>
    <s v="ORD1252"/>
    <x v="155"/>
    <s v="Amit Sharma"/>
    <s v="CUST360"/>
    <x v="1"/>
    <x v="3"/>
    <x v="2"/>
    <x v="1"/>
    <x v="2"/>
    <s v="Basmati Rice"/>
    <s v="PROD6088"/>
    <n v="2"/>
    <n v="27597"/>
    <n v="55194"/>
    <n v="15"/>
    <n v="8279.1"/>
    <n v="46914.9"/>
    <x v="0"/>
    <x v="2"/>
    <n v="11"/>
    <n v="5160.6390000000001"/>
  </r>
  <r>
    <s v="ORD1253"/>
    <x v="182"/>
    <s v="Riya Das"/>
    <s v="CUST186"/>
    <x v="1"/>
    <x v="4"/>
    <x v="2"/>
    <x v="0"/>
    <x v="1"/>
    <s v="Dell Laptop"/>
    <s v="PROD7135"/>
    <n v="1"/>
    <n v="31372"/>
    <n v="31372"/>
    <n v="5"/>
    <n v="1568.6"/>
    <n v="29803.4"/>
    <x v="0"/>
    <x v="1"/>
    <n v="21"/>
    <n v="6258.7139999999999"/>
  </r>
  <r>
    <s v="ORD1254"/>
    <x v="183"/>
    <s v="Priya Nair"/>
    <s v="CUST517"/>
    <x v="2"/>
    <x v="1"/>
    <x v="2"/>
    <x v="2"/>
    <x v="5"/>
    <s v="iPhone"/>
    <s v="PROD8333"/>
    <n v="1"/>
    <n v="37542"/>
    <n v="37542"/>
    <n v="5"/>
    <n v="1877.1"/>
    <n v="35664.9"/>
    <x v="1"/>
    <x v="0"/>
    <n v="16"/>
    <n v="5706.384"/>
  </r>
  <r>
    <s v="ORD1255"/>
    <x v="165"/>
    <s v="Arjun Mehta"/>
    <s v="CUST657"/>
    <x v="0"/>
    <x v="4"/>
    <x v="2"/>
    <x v="2"/>
    <x v="4"/>
    <s v="iPhone"/>
    <s v="PROD3406"/>
    <n v="6"/>
    <n v="22088"/>
    <n v="132528"/>
    <n v="10"/>
    <n v="13252.8"/>
    <n v="119275.2"/>
    <x v="3"/>
    <x v="2"/>
    <n v="13"/>
    <n v="15505.776"/>
  </r>
  <r>
    <s v="ORD1256"/>
    <x v="163"/>
    <s v="Amit Sharma"/>
    <s v="CUST927"/>
    <x v="2"/>
    <x v="7"/>
    <x v="2"/>
    <x v="0"/>
    <x v="3"/>
    <s v="iPhone"/>
    <s v="PROD3700"/>
    <n v="2"/>
    <n v="23664"/>
    <n v="47328"/>
    <n v="20"/>
    <n v="9465.6"/>
    <n v="37862.400000000001"/>
    <x v="0"/>
    <x v="1"/>
    <n v="15"/>
    <n v="5679.36"/>
  </r>
  <r>
    <s v="ORD1257"/>
    <x v="30"/>
    <s v="Priya Nair"/>
    <s v="CUST556"/>
    <x v="0"/>
    <x v="1"/>
    <x v="0"/>
    <x v="2"/>
    <x v="2"/>
    <s v="Nike Shoes"/>
    <s v="PROD2232"/>
    <n v="2"/>
    <n v="21829"/>
    <n v="43658"/>
    <n v="20"/>
    <n v="8731.6"/>
    <n v="34926.400000000001"/>
    <x v="2"/>
    <x v="1"/>
    <n v="16"/>
    <n v="5588.2240000000002"/>
  </r>
  <r>
    <s v="ORD1258"/>
    <x v="151"/>
    <s v="Amit Sharma"/>
    <s v="CUST501"/>
    <x v="1"/>
    <x v="4"/>
    <x v="2"/>
    <x v="2"/>
    <x v="1"/>
    <s v="Basmati Rice"/>
    <s v="PROD1853"/>
    <n v="1"/>
    <n v="44519"/>
    <n v="44519"/>
    <n v="5"/>
    <n v="2225.9499999999998"/>
    <n v="42293.05"/>
    <x v="0"/>
    <x v="2"/>
    <n v="30"/>
    <n v="12687.915000000001"/>
  </r>
  <r>
    <s v="ORD1259"/>
    <x v="170"/>
    <s v="Sana Khan"/>
    <s v="CUST901"/>
    <x v="1"/>
    <x v="4"/>
    <x v="1"/>
    <x v="0"/>
    <x v="0"/>
    <s v="Dell Laptop"/>
    <s v="PROD7077"/>
    <n v="6"/>
    <n v="32644"/>
    <n v="195864"/>
    <n v="20"/>
    <n v="39172.800000000003"/>
    <n v="156691.20000000001"/>
    <x v="2"/>
    <x v="1"/>
    <n v="14"/>
    <n v="21936.768"/>
  </r>
  <r>
    <s v="ORD1260"/>
    <x v="159"/>
    <s v="Amit Sharma"/>
    <s v="CUST249"/>
    <x v="0"/>
    <x v="0"/>
    <x v="0"/>
    <x v="1"/>
    <x v="1"/>
    <s v="Boat Headphones"/>
    <s v="PROD2562"/>
    <n v="6"/>
    <n v="14000"/>
    <n v="84000"/>
    <n v="5"/>
    <n v="4200"/>
    <n v="79800"/>
    <x v="3"/>
    <x v="0"/>
    <n v="5"/>
    <n v="3990"/>
  </r>
  <r>
    <s v="ORD1261"/>
    <x v="184"/>
    <s v="Vikas Singh"/>
    <s v="CUST505"/>
    <x v="1"/>
    <x v="2"/>
    <x v="0"/>
    <x v="1"/>
    <x v="0"/>
    <s v="Polo Shirt"/>
    <s v="PROD7206"/>
    <n v="1"/>
    <n v="48428"/>
    <n v="48428"/>
    <n v="15"/>
    <n v="7264.2"/>
    <n v="41163.800000000003"/>
    <x v="1"/>
    <x v="0"/>
    <n v="6"/>
    <n v="2469.828"/>
  </r>
  <r>
    <s v="ORD1262"/>
    <x v="185"/>
    <s v="Manoj Kumar"/>
    <s v="CUST822"/>
    <x v="2"/>
    <x v="3"/>
    <x v="1"/>
    <x v="2"/>
    <x v="5"/>
    <s v="Boat Headphones"/>
    <s v="PROD8873"/>
    <n v="5"/>
    <n v="37011"/>
    <n v="185055"/>
    <n v="20"/>
    <n v="37011"/>
    <n v="148044"/>
    <x v="2"/>
    <x v="0"/>
    <n v="29"/>
    <n v="42932.76"/>
  </r>
  <r>
    <s v="ORD1263"/>
    <x v="186"/>
    <s v="Arjun Mehta"/>
    <s v="CUST246"/>
    <x v="1"/>
    <x v="3"/>
    <x v="1"/>
    <x v="0"/>
    <x v="1"/>
    <s v="Boat Headphones"/>
    <s v="PROD8582"/>
    <n v="6"/>
    <n v="48389"/>
    <n v="290334"/>
    <n v="0"/>
    <n v="0"/>
    <n v="290334"/>
    <x v="1"/>
    <x v="1"/>
    <n v="22"/>
    <n v="63873.48"/>
  </r>
  <r>
    <s v="ORD1264"/>
    <x v="187"/>
    <s v="Vikas Singh"/>
    <s v="CUST146"/>
    <x v="0"/>
    <x v="6"/>
    <x v="0"/>
    <x v="1"/>
    <x v="1"/>
    <s v="Basmati Rice"/>
    <s v="PROD5617"/>
    <n v="1"/>
    <n v="9503"/>
    <n v="9503"/>
    <n v="15"/>
    <n v="1425.45"/>
    <n v="8077.55"/>
    <x v="0"/>
    <x v="1"/>
    <n v="24"/>
    <n v="1938.6120000000001"/>
  </r>
  <r>
    <s v="ORD1265"/>
    <x v="188"/>
    <s v="Neha Gupta"/>
    <s v="CUST407"/>
    <x v="1"/>
    <x v="0"/>
    <x v="0"/>
    <x v="1"/>
    <x v="2"/>
    <s v="iPhone"/>
    <s v="PROD2053"/>
    <n v="6"/>
    <n v="561"/>
    <n v="3366"/>
    <n v="15"/>
    <n v="504.9"/>
    <n v="2861.1"/>
    <x v="3"/>
    <x v="2"/>
    <n v="18"/>
    <n v="514.99799999999993"/>
  </r>
  <r>
    <s v="ORD1266"/>
    <x v="189"/>
    <s v="Manoj Kumar"/>
    <s v="CUST935"/>
    <x v="1"/>
    <x v="4"/>
    <x v="2"/>
    <x v="2"/>
    <x v="2"/>
    <s v="Polo Shirt"/>
    <s v="PROD2866"/>
    <n v="4"/>
    <n v="11060"/>
    <n v="44240"/>
    <n v="0"/>
    <n v="0"/>
    <n v="44240"/>
    <x v="2"/>
    <x v="1"/>
    <n v="6"/>
    <n v="2654.4"/>
  </r>
  <r>
    <s v="ORD1267"/>
    <x v="175"/>
    <s v="Priya Nair"/>
    <s v="CUST677"/>
    <x v="2"/>
    <x v="2"/>
    <x v="2"/>
    <x v="2"/>
    <x v="4"/>
    <s v="Polo Shirt"/>
    <s v="PROD5404"/>
    <n v="7"/>
    <n v="28105"/>
    <n v="196735"/>
    <n v="5"/>
    <n v="9836.75"/>
    <n v="186898.25"/>
    <x v="0"/>
    <x v="0"/>
    <n v="26"/>
    <n v="48593.544999999998"/>
  </r>
  <r>
    <s v="ORD1268"/>
    <x v="153"/>
    <s v="Vikas Singh"/>
    <s v="CUST815"/>
    <x v="3"/>
    <x v="6"/>
    <x v="2"/>
    <x v="2"/>
    <x v="2"/>
    <s v="iPhone"/>
    <s v="PROD3824"/>
    <n v="3"/>
    <n v="46533"/>
    <n v="139599"/>
    <n v="15"/>
    <n v="20939.849999999999"/>
    <n v="118659.15"/>
    <x v="2"/>
    <x v="1"/>
    <n v="30"/>
    <n v="35597.745000000003"/>
  </r>
  <r>
    <s v="ORD1269"/>
    <x v="109"/>
    <s v="Kiran Patel"/>
    <s v="CUST123"/>
    <x v="0"/>
    <x v="3"/>
    <x v="1"/>
    <x v="2"/>
    <x v="2"/>
    <s v="Polo Shirt"/>
    <s v="PROD2240"/>
    <n v="9"/>
    <n v="22845"/>
    <n v="205605"/>
    <n v="10"/>
    <n v="20560.5"/>
    <n v="185044.5"/>
    <x v="2"/>
    <x v="1"/>
    <n v="23"/>
    <n v="42560.235000000001"/>
  </r>
  <r>
    <s v="ORD1270"/>
    <x v="39"/>
    <s v="Priya Nair"/>
    <s v="CUST913"/>
    <x v="3"/>
    <x v="5"/>
    <x v="2"/>
    <x v="2"/>
    <x v="4"/>
    <s v="iPhone"/>
    <s v="PROD1197"/>
    <n v="4"/>
    <n v="41841"/>
    <n v="167364"/>
    <n v="20"/>
    <n v="33472.800000000003"/>
    <n v="133891.20000000001"/>
    <x v="3"/>
    <x v="2"/>
    <n v="9"/>
    <n v="12050.208000000001"/>
  </r>
  <r>
    <s v="ORD1271"/>
    <x v="4"/>
    <s v="Arjun Mehta"/>
    <s v="CUST235"/>
    <x v="2"/>
    <x v="1"/>
    <x v="1"/>
    <x v="1"/>
    <x v="1"/>
    <s v="Boat Headphones"/>
    <s v="PROD7921"/>
    <n v="3"/>
    <n v="40332"/>
    <n v="120996"/>
    <n v="5"/>
    <n v="6049.8"/>
    <n v="114946.2"/>
    <x v="3"/>
    <x v="2"/>
    <n v="17"/>
    <n v="19540.853999999999"/>
  </r>
  <r>
    <s v="ORD1272"/>
    <x v="164"/>
    <s v="Vikas Singh"/>
    <s v="CUST923"/>
    <x v="1"/>
    <x v="2"/>
    <x v="2"/>
    <x v="2"/>
    <x v="0"/>
    <s v="Boat Headphones"/>
    <s v="PROD9386"/>
    <n v="7"/>
    <n v="43311"/>
    <n v="303177"/>
    <n v="0"/>
    <n v="0"/>
    <n v="303177"/>
    <x v="1"/>
    <x v="2"/>
    <n v="18"/>
    <n v="54571.86"/>
  </r>
  <r>
    <s v="ORD1273"/>
    <x v="131"/>
    <s v="Manoj Kumar"/>
    <s v="CUST440"/>
    <x v="2"/>
    <x v="1"/>
    <x v="0"/>
    <x v="1"/>
    <x v="5"/>
    <s v="Dell Laptop"/>
    <s v="PROD2748"/>
    <n v="3"/>
    <n v="41817"/>
    <n v="125451"/>
    <n v="0"/>
    <n v="0"/>
    <n v="125451"/>
    <x v="0"/>
    <x v="0"/>
    <n v="13"/>
    <n v="16308.63"/>
  </r>
  <r>
    <s v="ORD1274"/>
    <x v="190"/>
    <s v="Vikas Singh"/>
    <s v="CUST654"/>
    <x v="3"/>
    <x v="2"/>
    <x v="0"/>
    <x v="2"/>
    <x v="5"/>
    <s v="iPhone"/>
    <s v="PROD8238"/>
    <n v="1"/>
    <n v="48661"/>
    <n v="48661"/>
    <n v="5"/>
    <n v="2433.0500000000002"/>
    <n v="46227.95"/>
    <x v="2"/>
    <x v="1"/>
    <n v="25"/>
    <n v="11556.987499999999"/>
  </r>
  <r>
    <s v="ORD1275"/>
    <x v="67"/>
    <s v="Kiran Patel"/>
    <s v="CUST350"/>
    <x v="3"/>
    <x v="7"/>
    <x v="1"/>
    <x v="1"/>
    <x v="3"/>
    <s v="Dell Laptop"/>
    <s v="PROD3011"/>
    <n v="10"/>
    <n v="48714"/>
    <n v="487140"/>
    <n v="10"/>
    <n v="48714"/>
    <n v="438426"/>
    <x v="0"/>
    <x v="1"/>
    <n v="6"/>
    <n v="26305.56"/>
  </r>
  <r>
    <s v="ORD1276"/>
    <x v="98"/>
    <s v="Arjun Mehta"/>
    <s v="CUST509"/>
    <x v="1"/>
    <x v="0"/>
    <x v="0"/>
    <x v="0"/>
    <x v="2"/>
    <s v="Nike Shoes"/>
    <s v="PROD1617"/>
    <n v="1"/>
    <n v="49387"/>
    <n v="49387"/>
    <n v="0"/>
    <n v="0"/>
    <n v="49387"/>
    <x v="1"/>
    <x v="0"/>
    <n v="9"/>
    <n v="4444.83"/>
  </r>
  <r>
    <s v="ORD1277"/>
    <x v="25"/>
    <s v="Priya Nair"/>
    <s v="CUST753"/>
    <x v="2"/>
    <x v="5"/>
    <x v="2"/>
    <x v="2"/>
    <x v="4"/>
    <s v="Basmati Rice"/>
    <s v="PROD7285"/>
    <n v="7"/>
    <n v="43526"/>
    <n v="304682"/>
    <n v="5"/>
    <n v="15234.1"/>
    <n v="289447.90000000002"/>
    <x v="2"/>
    <x v="0"/>
    <n v="10"/>
    <n v="28944.79"/>
  </r>
  <r>
    <s v="ORD1278"/>
    <x v="69"/>
    <s v="Manoj Kumar"/>
    <s v="CUST802"/>
    <x v="3"/>
    <x v="5"/>
    <x v="2"/>
    <x v="2"/>
    <x v="4"/>
    <s v="Nike Shoes"/>
    <s v="PROD6361"/>
    <n v="8"/>
    <n v="10963"/>
    <n v="87704"/>
    <n v="5"/>
    <n v="4385.2"/>
    <n v="83318.8"/>
    <x v="1"/>
    <x v="2"/>
    <n v="30"/>
    <n v="24995.64"/>
  </r>
  <r>
    <s v="ORD1279"/>
    <x v="74"/>
    <s v="Neha Gupta"/>
    <s v="CUST961"/>
    <x v="0"/>
    <x v="4"/>
    <x v="2"/>
    <x v="2"/>
    <x v="4"/>
    <s v="Dell Laptop"/>
    <s v="PROD1529"/>
    <n v="4"/>
    <n v="43103"/>
    <n v="172412"/>
    <n v="0"/>
    <n v="0"/>
    <n v="172412"/>
    <x v="3"/>
    <x v="1"/>
    <n v="9"/>
    <n v="15517.08"/>
  </r>
  <r>
    <s v="ORD1280"/>
    <x v="150"/>
    <s v="Amit Sharma"/>
    <s v="CUST981"/>
    <x v="3"/>
    <x v="0"/>
    <x v="0"/>
    <x v="1"/>
    <x v="3"/>
    <s v="Polo Shirt"/>
    <s v="PROD5460"/>
    <n v="8"/>
    <n v="17323"/>
    <n v="138584"/>
    <n v="20"/>
    <n v="27716.799999999999"/>
    <n v="110867.2"/>
    <x v="2"/>
    <x v="0"/>
    <n v="22"/>
    <n v="24390.784"/>
  </r>
  <r>
    <s v="ORD1281"/>
    <x v="191"/>
    <s v="Arjun Mehta"/>
    <s v="CUST934"/>
    <x v="0"/>
    <x v="2"/>
    <x v="2"/>
    <x v="0"/>
    <x v="1"/>
    <s v="Dell Laptop"/>
    <s v="PROD2276"/>
    <n v="9"/>
    <n v="22961"/>
    <n v="206649"/>
    <n v="10"/>
    <n v="20664.900000000001"/>
    <n v="185984.1"/>
    <x v="0"/>
    <x v="1"/>
    <n v="23"/>
    <n v="42776.343000000001"/>
  </r>
  <r>
    <s v="ORD1282"/>
    <x v="78"/>
    <s v="Manoj Kumar"/>
    <s v="CUST886"/>
    <x v="1"/>
    <x v="7"/>
    <x v="2"/>
    <x v="1"/>
    <x v="5"/>
    <s v="Dell Laptop"/>
    <s v="PROD5306"/>
    <n v="5"/>
    <n v="17087"/>
    <n v="85435"/>
    <n v="20"/>
    <n v="17087"/>
    <n v="68348"/>
    <x v="1"/>
    <x v="2"/>
    <n v="29"/>
    <n v="19820.919999999998"/>
  </r>
  <r>
    <s v="ORD1283"/>
    <x v="192"/>
    <s v="Rohit Verma"/>
    <s v="CUST486"/>
    <x v="2"/>
    <x v="1"/>
    <x v="0"/>
    <x v="1"/>
    <x v="2"/>
    <s v="Boat Headphones"/>
    <s v="PROD6209"/>
    <n v="6"/>
    <n v="36155"/>
    <n v="216930"/>
    <n v="0"/>
    <n v="0"/>
    <n v="216930"/>
    <x v="3"/>
    <x v="1"/>
    <n v="19"/>
    <n v="41216.699999999997"/>
  </r>
  <r>
    <s v="ORD1284"/>
    <x v="193"/>
    <s v="Sana Khan"/>
    <s v="CUST850"/>
    <x v="2"/>
    <x v="4"/>
    <x v="1"/>
    <x v="1"/>
    <x v="2"/>
    <s v="iPhone"/>
    <s v="PROD1740"/>
    <n v="3"/>
    <n v="32233"/>
    <n v="96699"/>
    <n v="20"/>
    <n v="19339.8"/>
    <n v="77359.199999999997"/>
    <x v="0"/>
    <x v="0"/>
    <n v="28"/>
    <n v="21660.576000000001"/>
  </r>
  <r>
    <s v="ORD1285"/>
    <x v="194"/>
    <s v="Kiran Patel"/>
    <s v="CUST993"/>
    <x v="0"/>
    <x v="6"/>
    <x v="0"/>
    <x v="2"/>
    <x v="1"/>
    <s v="Basmati Rice"/>
    <s v="PROD3527"/>
    <n v="2"/>
    <n v="2514"/>
    <n v="5028"/>
    <n v="0"/>
    <n v="0"/>
    <n v="5028"/>
    <x v="2"/>
    <x v="2"/>
    <n v="30"/>
    <n v="1508.4"/>
  </r>
  <r>
    <s v="ORD1286"/>
    <x v="97"/>
    <s v="Vikas Singh"/>
    <s v="CUST702"/>
    <x v="1"/>
    <x v="4"/>
    <x v="2"/>
    <x v="2"/>
    <x v="5"/>
    <s v="Basmati Rice"/>
    <s v="PROD6928"/>
    <n v="3"/>
    <n v="45387"/>
    <n v="136161"/>
    <n v="0"/>
    <n v="0"/>
    <n v="136161"/>
    <x v="2"/>
    <x v="1"/>
    <n v="5"/>
    <n v="6808.05"/>
  </r>
  <r>
    <s v="ORD1287"/>
    <x v="164"/>
    <s v="Sana Khan"/>
    <s v="CUST669"/>
    <x v="3"/>
    <x v="1"/>
    <x v="0"/>
    <x v="2"/>
    <x v="1"/>
    <s v="Boat Headphones"/>
    <s v="PROD5923"/>
    <n v="10"/>
    <n v="16576"/>
    <n v="165760"/>
    <n v="10"/>
    <n v="16576"/>
    <n v="149184"/>
    <x v="3"/>
    <x v="1"/>
    <n v="21"/>
    <n v="31328.639999999999"/>
  </r>
  <r>
    <s v="ORD1288"/>
    <x v="22"/>
    <s v="Rohit Verma"/>
    <s v="CUST437"/>
    <x v="1"/>
    <x v="3"/>
    <x v="2"/>
    <x v="1"/>
    <x v="4"/>
    <s v="Boat Headphones"/>
    <s v="PROD3408"/>
    <n v="7"/>
    <n v="12442"/>
    <n v="87094"/>
    <n v="5"/>
    <n v="4354.7"/>
    <n v="82739.3"/>
    <x v="2"/>
    <x v="0"/>
    <n v="10"/>
    <n v="8273.93"/>
  </r>
  <r>
    <s v="ORD1289"/>
    <x v="61"/>
    <s v="Rohit Verma"/>
    <s v="CUST339"/>
    <x v="0"/>
    <x v="6"/>
    <x v="2"/>
    <x v="0"/>
    <x v="5"/>
    <s v="Dell Laptop"/>
    <s v="PROD3885"/>
    <n v="10"/>
    <n v="32820"/>
    <n v="328200"/>
    <n v="5"/>
    <n v="16410"/>
    <n v="311790"/>
    <x v="0"/>
    <x v="0"/>
    <n v="8"/>
    <n v="24943.200000000001"/>
  </r>
  <r>
    <s v="ORD1290"/>
    <x v="143"/>
    <s v="Manoj Kumar"/>
    <s v="CUST768"/>
    <x v="1"/>
    <x v="1"/>
    <x v="1"/>
    <x v="0"/>
    <x v="5"/>
    <s v="iPhone"/>
    <s v="PROD7864"/>
    <n v="1"/>
    <n v="37611"/>
    <n v="37611"/>
    <n v="5"/>
    <n v="1880.55"/>
    <n v="35730.449999999997"/>
    <x v="0"/>
    <x v="1"/>
    <n v="11"/>
    <n v="3930.3494999999989"/>
  </r>
  <r>
    <s v="ORD1291"/>
    <x v="165"/>
    <s v="Amit Sharma"/>
    <s v="CUST335"/>
    <x v="3"/>
    <x v="1"/>
    <x v="2"/>
    <x v="0"/>
    <x v="2"/>
    <s v="Dell Laptop"/>
    <s v="PROD6350"/>
    <n v="7"/>
    <n v="10944"/>
    <n v="76608"/>
    <n v="0"/>
    <n v="0"/>
    <n v="76608"/>
    <x v="3"/>
    <x v="0"/>
    <n v="11"/>
    <n v="8426.8799999999992"/>
  </r>
  <r>
    <s v="ORD1292"/>
    <x v="195"/>
    <s v="Neha Gupta"/>
    <s v="CUST125"/>
    <x v="0"/>
    <x v="2"/>
    <x v="0"/>
    <x v="0"/>
    <x v="5"/>
    <s v="Boat Headphones"/>
    <s v="PROD5904"/>
    <n v="6"/>
    <n v="44618"/>
    <n v="267708"/>
    <n v="20"/>
    <n v="53541.599999999999"/>
    <n v="214166.39999999999"/>
    <x v="3"/>
    <x v="2"/>
    <n v="26"/>
    <n v="55683.264000000003"/>
  </r>
  <r>
    <s v="ORD1293"/>
    <x v="196"/>
    <s v="Vikas Singh"/>
    <s v="CUST525"/>
    <x v="0"/>
    <x v="4"/>
    <x v="0"/>
    <x v="1"/>
    <x v="3"/>
    <s v="Dell Laptop"/>
    <s v="PROD6471"/>
    <n v="7"/>
    <n v="22252"/>
    <n v="155764"/>
    <n v="0"/>
    <n v="0"/>
    <n v="155764"/>
    <x v="1"/>
    <x v="2"/>
    <n v="10"/>
    <n v="15576.4"/>
  </r>
  <r>
    <s v="ORD1294"/>
    <x v="196"/>
    <s v="Amit Sharma"/>
    <s v="CUST522"/>
    <x v="2"/>
    <x v="0"/>
    <x v="0"/>
    <x v="1"/>
    <x v="1"/>
    <s v="Polo Shirt"/>
    <s v="PROD1731"/>
    <n v="5"/>
    <n v="2676"/>
    <n v="13380"/>
    <n v="5"/>
    <n v="669"/>
    <n v="12711"/>
    <x v="3"/>
    <x v="0"/>
    <n v="19"/>
    <n v="2415.09"/>
  </r>
  <r>
    <s v="ORD1295"/>
    <x v="197"/>
    <s v="Manoj Kumar"/>
    <s v="CUST737"/>
    <x v="1"/>
    <x v="4"/>
    <x v="0"/>
    <x v="1"/>
    <x v="5"/>
    <s v="Polo Shirt"/>
    <s v="PROD9111"/>
    <n v="9"/>
    <n v="31571"/>
    <n v="284139"/>
    <n v="10"/>
    <n v="28413.9"/>
    <n v="255725.1"/>
    <x v="2"/>
    <x v="0"/>
    <n v="19"/>
    <n v="48587.769"/>
  </r>
  <r>
    <s v="ORD1296"/>
    <x v="198"/>
    <s v="Rohit Verma"/>
    <s v="CUST117"/>
    <x v="2"/>
    <x v="0"/>
    <x v="0"/>
    <x v="1"/>
    <x v="5"/>
    <s v="Dell Laptop"/>
    <s v="PROD3941"/>
    <n v="2"/>
    <n v="16426"/>
    <n v="32852"/>
    <n v="10"/>
    <n v="3285.2"/>
    <n v="29566.799999999999"/>
    <x v="0"/>
    <x v="0"/>
    <n v="20"/>
    <n v="5913.36"/>
  </r>
  <r>
    <s v="ORD1297"/>
    <x v="178"/>
    <s v="Sana Khan"/>
    <s v="CUST784"/>
    <x v="1"/>
    <x v="4"/>
    <x v="1"/>
    <x v="2"/>
    <x v="2"/>
    <s v="Nike Shoes"/>
    <s v="PROD9718"/>
    <n v="4"/>
    <n v="19102"/>
    <n v="76408"/>
    <n v="10"/>
    <n v="7640.8"/>
    <n v="68767.199999999997"/>
    <x v="2"/>
    <x v="0"/>
    <n v="25"/>
    <n v="17191.8"/>
  </r>
  <r>
    <s v="ORD1298"/>
    <x v="149"/>
    <s v="Priya Nair"/>
    <s v="CUST137"/>
    <x v="0"/>
    <x v="3"/>
    <x v="0"/>
    <x v="0"/>
    <x v="2"/>
    <s v="iPhone"/>
    <s v="PROD4283"/>
    <n v="2"/>
    <n v="45791"/>
    <n v="91582"/>
    <n v="10"/>
    <n v="9158.2000000000007"/>
    <n v="82423.8"/>
    <x v="0"/>
    <x v="0"/>
    <n v="12"/>
    <n v="9890.8560000000016"/>
  </r>
  <r>
    <s v="ORD1299"/>
    <x v="149"/>
    <s v="Amit Sharma"/>
    <s v="CUST131"/>
    <x v="3"/>
    <x v="5"/>
    <x v="2"/>
    <x v="0"/>
    <x v="0"/>
    <s v="Boat Headphones"/>
    <s v="PROD2506"/>
    <n v="10"/>
    <n v="17272"/>
    <n v="172720"/>
    <n v="5"/>
    <n v="8636"/>
    <n v="164084"/>
    <x v="3"/>
    <x v="0"/>
    <n v="29"/>
    <n v="47584.36"/>
  </r>
  <r>
    <s v="ORD1300"/>
    <x v="7"/>
    <s v="Neha Gupta"/>
    <s v="CUST149"/>
    <x v="3"/>
    <x v="2"/>
    <x v="1"/>
    <x v="0"/>
    <x v="4"/>
    <s v="Boat Headphones"/>
    <s v="PROD7891"/>
    <n v="10"/>
    <n v="48894"/>
    <n v="488940"/>
    <n v="20"/>
    <n v="97788"/>
    <n v="391152"/>
    <x v="3"/>
    <x v="1"/>
    <n v="6"/>
    <n v="23469.119999999999"/>
  </r>
  <r>
    <s v="ORD1301"/>
    <x v="135"/>
    <s v="Sana Khan"/>
    <s v="CUST732"/>
    <x v="3"/>
    <x v="2"/>
    <x v="2"/>
    <x v="2"/>
    <x v="3"/>
    <s v="iPhone"/>
    <s v="PROD3457"/>
    <n v="4"/>
    <n v="21061"/>
    <n v="84244"/>
    <n v="20"/>
    <n v="16848.8"/>
    <n v="67395.199999999997"/>
    <x v="3"/>
    <x v="2"/>
    <n v="9"/>
    <n v="6065.5679999999993"/>
  </r>
  <r>
    <s v="ORD1302"/>
    <x v="199"/>
    <s v="Kiran Patel"/>
    <s v="CUST207"/>
    <x v="1"/>
    <x v="2"/>
    <x v="2"/>
    <x v="0"/>
    <x v="1"/>
    <s v="Nike Shoes"/>
    <s v="PROD3496"/>
    <n v="1"/>
    <n v="20285"/>
    <n v="20285"/>
    <n v="0"/>
    <n v="0"/>
    <n v="20285"/>
    <x v="2"/>
    <x v="0"/>
    <n v="24"/>
    <n v="4868.3999999999996"/>
  </r>
  <r>
    <s v="ORD1303"/>
    <x v="200"/>
    <s v="Rohit Verma"/>
    <s v="CUST345"/>
    <x v="1"/>
    <x v="6"/>
    <x v="1"/>
    <x v="1"/>
    <x v="4"/>
    <s v="Nike Shoes"/>
    <s v="PROD9054"/>
    <n v="10"/>
    <n v="44362"/>
    <n v="443620"/>
    <n v="0"/>
    <n v="0"/>
    <n v="443620"/>
    <x v="3"/>
    <x v="1"/>
    <n v="12"/>
    <n v="53234.400000000001"/>
  </r>
  <r>
    <s v="ORD1304"/>
    <x v="4"/>
    <s v="Arjun Mehta"/>
    <s v="CUST283"/>
    <x v="2"/>
    <x v="5"/>
    <x v="2"/>
    <x v="2"/>
    <x v="3"/>
    <s v="Polo Shirt"/>
    <s v="PROD7440"/>
    <n v="9"/>
    <n v="36574"/>
    <n v="329166"/>
    <n v="5"/>
    <n v="16458.3"/>
    <n v="312707.7"/>
    <x v="1"/>
    <x v="0"/>
    <n v="19"/>
    <n v="59414.463000000003"/>
  </r>
  <r>
    <s v="ORD1305"/>
    <x v="112"/>
    <s v="Amit Sharma"/>
    <s v="CUST982"/>
    <x v="2"/>
    <x v="0"/>
    <x v="2"/>
    <x v="2"/>
    <x v="5"/>
    <s v="iPhone"/>
    <s v="PROD5084"/>
    <n v="10"/>
    <n v="35163"/>
    <n v="351630"/>
    <n v="5"/>
    <n v="17581.5"/>
    <n v="334048.5"/>
    <x v="1"/>
    <x v="2"/>
    <n v="28"/>
    <n v="93533.58"/>
  </r>
  <r>
    <s v="ORD1306"/>
    <x v="201"/>
    <s v="Priya Nair"/>
    <s v="CUST342"/>
    <x v="0"/>
    <x v="0"/>
    <x v="1"/>
    <x v="2"/>
    <x v="2"/>
    <s v="Basmati Rice"/>
    <s v="PROD9439"/>
    <n v="10"/>
    <n v="5801"/>
    <n v="58010"/>
    <n v="5"/>
    <n v="2900.5"/>
    <n v="55109.5"/>
    <x v="1"/>
    <x v="1"/>
    <n v="9"/>
    <n v="4959.8549999999996"/>
  </r>
  <r>
    <s v="ORD1307"/>
    <x v="52"/>
    <s v="Kiran Patel"/>
    <s v="CUST783"/>
    <x v="3"/>
    <x v="1"/>
    <x v="1"/>
    <x v="1"/>
    <x v="5"/>
    <s v="Boat Headphones"/>
    <s v="PROD7654"/>
    <n v="3"/>
    <n v="37307"/>
    <n v="111921"/>
    <n v="5"/>
    <n v="5596.05"/>
    <n v="106324.95"/>
    <x v="0"/>
    <x v="0"/>
    <n v="19"/>
    <n v="20201.7405"/>
  </r>
  <r>
    <s v="ORD1308"/>
    <x v="202"/>
    <s v="Priya Nair"/>
    <s v="CUST461"/>
    <x v="0"/>
    <x v="2"/>
    <x v="2"/>
    <x v="1"/>
    <x v="3"/>
    <s v="iPhone"/>
    <s v="PROD5397"/>
    <n v="10"/>
    <n v="17865"/>
    <n v="178650"/>
    <n v="20"/>
    <n v="35730"/>
    <n v="142920"/>
    <x v="2"/>
    <x v="2"/>
    <n v="12"/>
    <n v="17150.400000000001"/>
  </r>
  <r>
    <s v="ORD1309"/>
    <x v="40"/>
    <s v="Priya Nair"/>
    <s v="CUST377"/>
    <x v="1"/>
    <x v="7"/>
    <x v="1"/>
    <x v="1"/>
    <x v="1"/>
    <s v="Polo Shirt"/>
    <s v="PROD1439"/>
    <n v="6"/>
    <n v="14922"/>
    <n v="89532"/>
    <n v="0"/>
    <n v="0"/>
    <n v="89532"/>
    <x v="1"/>
    <x v="1"/>
    <n v="23"/>
    <n v="20592.36"/>
  </r>
  <r>
    <s v="ORD1310"/>
    <x v="31"/>
    <s v="Vikas Singh"/>
    <s v="CUST341"/>
    <x v="1"/>
    <x v="7"/>
    <x v="0"/>
    <x v="1"/>
    <x v="3"/>
    <s v="Basmati Rice"/>
    <s v="PROD7639"/>
    <n v="4"/>
    <n v="21645"/>
    <n v="86580"/>
    <n v="10"/>
    <n v="8658"/>
    <n v="77922"/>
    <x v="3"/>
    <x v="0"/>
    <n v="26"/>
    <n v="20259.72"/>
  </r>
  <r>
    <s v="ORD1311"/>
    <x v="7"/>
    <s v="Arjun Mehta"/>
    <s v="CUST247"/>
    <x v="2"/>
    <x v="4"/>
    <x v="0"/>
    <x v="2"/>
    <x v="5"/>
    <s v="Boat Headphones"/>
    <s v="PROD8882"/>
    <n v="9"/>
    <n v="47880"/>
    <n v="430920"/>
    <n v="15"/>
    <n v="64638"/>
    <n v="366282"/>
    <x v="1"/>
    <x v="2"/>
    <n v="30"/>
    <n v="109884.6"/>
  </r>
  <r>
    <s v="ORD1312"/>
    <x v="141"/>
    <s v="Kiran Patel"/>
    <s v="CUST613"/>
    <x v="1"/>
    <x v="1"/>
    <x v="2"/>
    <x v="2"/>
    <x v="5"/>
    <s v="Boat Headphones"/>
    <s v="PROD6816"/>
    <n v="10"/>
    <n v="45203"/>
    <n v="452030"/>
    <n v="5"/>
    <n v="22601.5"/>
    <n v="429428.5"/>
    <x v="3"/>
    <x v="2"/>
    <n v="17"/>
    <n v="73002.845000000001"/>
  </r>
  <r>
    <s v="ORD1313"/>
    <x v="17"/>
    <s v="Neha Gupta"/>
    <s v="CUST202"/>
    <x v="0"/>
    <x v="6"/>
    <x v="1"/>
    <x v="2"/>
    <x v="5"/>
    <s v="Basmati Rice"/>
    <s v="PROD3127"/>
    <n v="1"/>
    <n v="20024"/>
    <n v="20024"/>
    <n v="20"/>
    <n v="4004.8"/>
    <n v="16019.2"/>
    <x v="1"/>
    <x v="2"/>
    <n v="5"/>
    <n v="800.96"/>
  </r>
  <r>
    <s v="ORD1314"/>
    <x v="169"/>
    <s v="Arjun Mehta"/>
    <s v="CUST989"/>
    <x v="0"/>
    <x v="2"/>
    <x v="1"/>
    <x v="1"/>
    <x v="4"/>
    <s v="Dell Laptop"/>
    <s v="PROD9449"/>
    <n v="4"/>
    <n v="44429"/>
    <n v="177716"/>
    <n v="15"/>
    <n v="26657.4"/>
    <n v="151058.6"/>
    <x v="3"/>
    <x v="2"/>
    <n v="18"/>
    <n v="27190.547999999999"/>
  </r>
  <r>
    <s v="ORD1315"/>
    <x v="203"/>
    <s v="Manoj Kumar"/>
    <s v="CUST187"/>
    <x v="3"/>
    <x v="6"/>
    <x v="2"/>
    <x v="0"/>
    <x v="2"/>
    <s v="Dell Laptop"/>
    <s v="PROD6585"/>
    <n v="1"/>
    <n v="2158"/>
    <n v="2158"/>
    <n v="0"/>
    <n v="0"/>
    <n v="2158"/>
    <x v="1"/>
    <x v="1"/>
    <n v="30"/>
    <n v="647.4"/>
  </r>
  <r>
    <s v="ORD1316"/>
    <x v="45"/>
    <s v="Kiran Patel"/>
    <s v="CUST139"/>
    <x v="0"/>
    <x v="7"/>
    <x v="0"/>
    <x v="2"/>
    <x v="3"/>
    <s v="Boat Headphones"/>
    <s v="PROD6570"/>
    <n v="1"/>
    <n v="12671"/>
    <n v="12671"/>
    <n v="20"/>
    <n v="2534.1999999999998"/>
    <n v="10136.799999999999"/>
    <x v="0"/>
    <x v="2"/>
    <n v="12"/>
    <n v="1216.4159999999999"/>
  </r>
  <r>
    <s v="ORD1317"/>
    <x v="204"/>
    <s v="Vikas Singh"/>
    <s v="CUST951"/>
    <x v="1"/>
    <x v="1"/>
    <x v="0"/>
    <x v="1"/>
    <x v="3"/>
    <s v="Dell Laptop"/>
    <s v="PROD1725"/>
    <n v="6"/>
    <n v="42502"/>
    <n v="255012"/>
    <n v="10"/>
    <n v="25501.200000000001"/>
    <n v="229510.8"/>
    <x v="2"/>
    <x v="0"/>
    <n v="17"/>
    <n v="39016.836000000003"/>
  </r>
  <r>
    <s v="ORD1318"/>
    <x v="199"/>
    <s v="Manoj Kumar"/>
    <s v="CUST862"/>
    <x v="0"/>
    <x v="7"/>
    <x v="0"/>
    <x v="1"/>
    <x v="1"/>
    <s v="Nike Shoes"/>
    <s v="PROD6226"/>
    <n v="8"/>
    <n v="40372"/>
    <n v="322976"/>
    <n v="10"/>
    <n v="32297.599999999999"/>
    <n v="290678.40000000002"/>
    <x v="0"/>
    <x v="0"/>
    <n v="13"/>
    <n v="37788.192000000003"/>
  </r>
  <r>
    <s v="ORD1319"/>
    <x v="205"/>
    <s v="Rohit Verma"/>
    <s v="CUST593"/>
    <x v="1"/>
    <x v="6"/>
    <x v="2"/>
    <x v="2"/>
    <x v="0"/>
    <s v="Basmati Rice"/>
    <s v="PROD2700"/>
    <n v="4"/>
    <n v="35156"/>
    <n v="140624"/>
    <n v="15"/>
    <n v="21093.599999999999"/>
    <n v="119530.4"/>
    <x v="2"/>
    <x v="2"/>
    <n v="19"/>
    <n v="22710.776000000002"/>
  </r>
  <r>
    <s v="ORD1320"/>
    <x v="23"/>
    <s v="Riya Das"/>
    <s v="CUST793"/>
    <x v="1"/>
    <x v="5"/>
    <x v="2"/>
    <x v="0"/>
    <x v="1"/>
    <s v="Boat Headphones"/>
    <s v="PROD9401"/>
    <n v="3"/>
    <n v="41213"/>
    <n v="123639"/>
    <n v="15"/>
    <n v="18545.849999999999"/>
    <n v="105093.15"/>
    <x v="2"/>
    <x v="1"/>
    <n v="7"/>
    <n v="7356.5204999999996"/>
  </r>
  <r>
    <s v="ORD1321"/>
    <x v="38"/>
    <s v="Neha Gupta"/>
    <s v="CUST931"/>
    <x v="1"/>
    <x v="7"/>
    <x v="1"/>
    <x v="1"/>
    <x v="3"/>
    <s v="Dell Laptop"/>
    <s v="PROD3780"/>
    <n v="7"/>
    <n v="44791"/>
    <n v="313537"/>
    <n v="5"/>
    <n v="15676.85"/>
    <n v="297860.15000000002"/>
    <x v="3"/>
    <x v="2"/>
    <n v="22"/>
    <n v="65529.233000000007"/>
  </r>
  <r>
    <s v="ORD1322"/>
    <x v="206"/>
    <s v="Priya Nair"/>
    <s v="CUST751"/>
    <x v="0"/>
    <x v="3"/>
    <x v="0"/>
    <x v="2"/>
    <x v="3"/>
    <s v="iPhone"/>
    <s v="PROD9156"/>
    <n v="10"/>
    <n v="32456"/>
    <n v="324560"/>
    <n v="20"/>
    <n v="64912"/>
    <n v="259648"/>
    <x v="1"/>
    <x v="0"/>
    <n v="20"/>
    <n v="51929.599999999999"/>
  </r>
  <r>
    <s v="ORD1323"/>
    <x v="204"/>
    <s v="Neha Gupta"/>
    <s v="CUST284"/>
    <x v="0"/>
    <x v="2"/>
    <x v="0"/>
    <x v="1"/>
    <x v="3"/>
    <s v="Dell Laptop"/>
    <s v="PROD7134"/>
    <n v="3"/>
    <n v="43799"/>
    <n v="131397"/>
    <n v="15"/>
    <n v="19709.55"/>
    <n v="111687.45"/>
    <x v="0"/>
    <x v="0"/>
    <n v="28"/>
    <n v="31272.486000000001"/>
  </r>
  <r>
    <s v="ORD1324"/>
    <x v="114"/>
    <s v="Amit Sharma"/>
    <s v="CUST914"/>
    <x v="2"/>
    <x v="0"/>
    <x v="0"/>
    <x v="1"/>
    <x v="2"/>
    <s v="Boat Headphones"/>
    <s v="PROD1980"/>
    <n v="1"/>
    <n v="33796"/>
    <n v="33796"/>
    <n v="20"/>
    <n v="6759.2"/>
    <n v="27036.799999999999"/>
    <x v="3"/>
    <x v="1"/>
    <n v="29"/>
    <n v="7840.6719999999996"/>
  </r>
  <r>
    <s v="ORD1325"/>
    <x v="207"/>
    <s v="Neha Gupta"/>
    <s v="CUST605"/>
    <x v="1"/>
    <x v="0"/>
    <x v="1"/>
    <x v="0"/>
    <x v="3"/>
    <s v="Polo Shirt"/>
    <s v="PROD1857"/>
    <n v="2"/>
    <n v="16929"/>
    <n v="33858"/>
    <n v="10"/>
    <n v="3385.8"/>
    <n v="30472.2"/>
    <x v="2"/>
    <x v="2"/>
    <n v="22"/>
    <n v="6703.884"/>
  </r>
  <r>
    <s v="ORD1326"/>
    <x v="93"/>
    <s v="Rohit Verma"/>
    <s v="CUST100"/>
    <x v="3"/>
    <x v="0"/>
    <x v="1"/>
    <x v="2"/>
    <x v="3"/>
    <s v="Dell Laptop"/>
    <s v="PROD5513"/>
    <n v="9"/>
    <n v="47057"/>
    <n v="423513"/>
    <n v="15"/>
    <n v="63526.95"/>
    <n v="359986.05"/>
    <x v="0"/>
    <x v="0"/>
    <n v="14"/>
    <n v="50398.046999999999"/>
  </r>
  <r>
    <s v="ORD1327"/>
    <x v="134"/>
    <s v="Manoj Kumar"/>
    <s v="CUST227"/>
    <x v="1"/>
    <x v="2"/>
    <x v="1"/>
    <x v="1"/>
    <x v="4"/>
    <s v="iPhone"/>
    <s v="PROD9903"/>
    <n v="10"/>
    <n v="7781"/>
    <n v="77810"/>
    <n v="15"/>
    <n v="11671.5"/>
    <n v="66138.5"/>
    <x v="0"/>
    <x v="1"/>
    <n v="7"/>
    <n v="4629.6949999999997"/>
  </r>
  <r>
    <s v="ORD1328"/>
    <x v="168"/>
    <s v="Arjun Mehta"/>
    <s v="CUST259"/>
    <x v="0"/>
    <x v="2"/>
    <x v="1"/>
    <x v="2"/>
    <x v="1"/>
    <s v="Dell Laptop"/>
    <s v="PROD5795"/>
    <n v="9"/>
    <n v="29662"/>
    <n v="266958"/>
    <n v="5"/>
    <n v="13347.9"/>
    <n v="253610.1"/>
    <x v="2"/>
    <x v="2"/>
    <n v="27"/>
    <n v="68474.726999999999"/>
  </r>
  <r>
    <s v="ORD1329"/>
    <x v="77"/>
    <s v="Priya Nair"/>
    <s v="CUST563"/>
    <x v="3"/>
    <x v="3"/>
    <x v="2"/>
    <x v="0"/>
    <x v="1"/>
    <s v="Dell Laptop"/>
    <s v="PROD6391"/>
    <n v="8"/>
    <n v="19263"/>
    <n v="154104"/>
    <n v="10"/>
    <n v="15410.4"/>
    <n v="138693.6"/>
    <x v="2"/>
    <x v="1"/>
    <n v="6"/>
    <n v="8321.6160000000018"/>
  </r>
  <r>
    <s v="ORD1330"/>
    <x v="191"/>
    <s v="Kiran Patel"/>
    <s v="CUST655"/>
    <x v="2"/>
    <x v="3"/>
    <x v="2"/>
    <x v="2"/>
    <x v="0"/>
    <s v="Polo Shirt"/>
    <s v="PROD5721"/>
    <n v="2"/>
    <n v="15791"/>
    <n v="31582"/>
    <n v="10"/>
    <n v="3158.2"/>
    <n v="28423.8"/>
    <x v="1"/>
    <x v="0"/>
    <n v="27"/>
    <n v="7674.4259999999986"/>
  </r>
  <r>
    <s v="ORD1331"/>
    <x v="188"/>
    <s v="Sana Khan"/>
    <s v="CUST765"/>
    <x v="0"/>
    <x v="3"/>
    <x v="1"/>
    <x v="0"/>
    <x v="3"/>
    <s v="Polo Shirt"/>
    <s v="PROD4126"/>
    <n v="8"/>
    <n v="7601"/>
    <n v="60808"/>
    <n v="20"/>
    <n v="12161.6"/>
    <n v="48646.400000000001"/>
    <x v="1"/>
    <x v="0"/>
    <n v="12"/>
    <n v="5837.5680000000002"/>
  </r>
  <r>
    <s v="ORD1332"/>
    <x v="50"/>
    <s v="Manoj Kumar"/>
    <s v="CUST714"/>
    <x v="3"/>
    <x v="1"/>
    <x v="1"/>
    <x v="1"/>
    <x v="5"/>
    <s v="Polo Shirt"/>
    <s v="PROD7816"/>
    <n v="7"/>
    <n v="36276"/>
    <n v="253932"/>
    <n v="5"/>
    <n v="12696.6"/>
    <n v="241235.4"/>
    <x v="2"/>
    <x v="0"/>
    <n v="25"/>
    <n v="60308.85"/>
  </r>
  <r>
    <s v="ORD1333"/>
    <x v="44"/>
    <s v="Manoj Kumar"/>
    <s v="CUST987"/>
    <x v="2"/>
    <x v="2"/>
    <x v="2"/>
    <x v="1"/>
    <x v="1"/>
    <s v="iPhone"/>
    <s v="PROD7670"/>
    <n v="2"/>
    <n v="38415"/>
    <n v="76830"/>
    <n v="20"/>
    <n v="15366"/>
    <n v="61464"/>
    <x v="2"/>
    <x v="0"/>
    <n v="17"/>
    <n v="10448.879999999999"/>
  </r>
  <r>
    <s v="ORD1334"/>
    <x v="35"/>
    <s v="Kiran Patel"/>
    <s v="CUST186"/>
    <x v="3"/>
    <x v="5"/>
    <x v="1"/>
    <x v="2"/>
    <x v="4"/>
    <s v="Polo Shirt"/>
    <s v="PROD1097"/>
    <n v="3"/>
    <n v="36730"/>
    <n v="110190"/>
    <n v="20"/>
    <n v="22038"/>
    <n v="88152"/>
    <x v="1"/>
    <x v="0"/>
    <n v="18"/>
    <n v="15867.36"/>
  </r>
  <r>
    <s v="ORD1335"/>
    <x v="208"/>
    <s v="Rohit Verma"/>
    <s v="CUST259"/>
    <x v="2"/>
    <x v="2"/>
    <x v="2"/>
    <x v="0"/>
    <x v="5"/>
    <s v="Basmati Rice"/>
    <s v="PROD6853"/>
    <n v="10"/>
    <n v="33340"/>
    <n v="333400"/>
    <n v="15"/>
    <n v="50010"/>
    <n v="283390"/>
    <x v="0"/>
    <x v="1"/>
    <n v="10"/>
    <n v="28339"/>
  </r>
  <r>
    <s v="ORD1336"/>
    <x v="209"/>
    <s v="Priya Nair"/>
    <s v="CUST867"/>
    <x v="1"/>
    <x v="6"/>
    <x v="0"/>
    <x v="0"/>
    <x v="2"/>
    <s v="Boat Headphones"/>
    <s v="PROD4348"/>
    <n v="8"/>
    <n v="29328"/>
    <n v="234624"/>
    <n v="0"/>
    <n v="0"/>
    <n v="234624"/>
    <x v="0"/>
    <x v="0"/>
    <n v="7"/>
    <n v="16423.68"/>
  </r>
  <r>
    <s v="ORD1337"/>
    <x v="210"/>
    <s v="Arjun Mehta"/>
    <s v="CUST350"/>
    <x v="1"/>
    <x v="4"/>
    <x v="2"/>
    <x v="0"/>
    <x v="0"/>
    <s v="iPhone"/>
    <s v="PROD4469"/>
    <n v="3"/>
    <n v="20079"/>
    <n v="60237"/>
    <n v="0"/>
    <n v="0"/>
    <n v="60237"/>
    <x v="3"/>
    <x v="1"/>
    <n v="19"/>
    <n v="11445.03"/>
  </r>
  <r>
    <s v="ORD1338"/>
    <x v="81"/>
    <s v="Neha Gupta"/>
    <s v="CUST265"/>
    <x v="3"/>
    <x v="3"/>
    <x v="0"/>
    <x v="0"/>
    <x v="5"/>
    <s v="iPhone"/>
    <s v="PROD4190"/>
    <n v="3"/>
    <n v="43895"/>
    <n v="131685"/>
    <n v="5"/>
    <n v="6584.25"/>
    <n v="125100.75"/>
    <x v="0"/>
    <x v="2"/>
    <n v="24"/>
    <n v="30024.18"/>
  </r>
  <r>
    <s v="ORD1339"/>
    <x v="76"/>
    <s v="Sana Khan"/>
    <s v="CUST275"/>
    <x v="2"/>
    <x v="7"/>
    <x v="2"/>
    <x v="1"/>
    <x v="1"/>
    <s v="Nike Shoes"/>
    <s v="PROD9930"/>
    <n v="1"/>
    <n v="9467"/>
    <n v="9467"/>
    <n v="0"/>
    <n v="0"/>
    <n v="9467"/>
    <x v="1"/>
    <x v="1"/>
    <n v="12"/>
    <n v="1136.04"/>
  </r>
  <r>
    <s v="ORD1340"/>
    <x v="211"/>
    <s v="Priya Nair"/>
    <s v="CUST688"/>
    <x v="1"/>
    <x v="0"/>
    <x v="0"/>
    <x v="0"/>
    <x v="5"/>
    <s v="iPhone"/>
    <s v="PROD4934"/>
    <n v="8"/>
    <n v="45155"/>
    <n v="361240"/>
    <n v="5"/>
    <n v="18062"/>
    <n v="343178"/>
    <x v="3"/>
    <x v="2"/>
    <n v="8"/>
    <n v="27454.240000000002"/>
  </r>
  <r>
    <s v="ORD1341"/>
    <x v="150"/>
    <s v="Manoj Kumar"/>
    <s v="CUST974"/>
    <x v="0"/>
    <x v="6"/>
    <x v="1"/>
    <x v="1"/>
    <x v="5"/>
    <s v="iPhone"/>
    <s v="PROD6410"/>
    <n v="2"/>
    <n v="5794"/>
    <n v="11588"/>
    <n v="15"/>
    <n v="1738.2"/>
    <n v="9849.7999999999993"/>
    <x v="0"/>
    <x v="2"/>
    <n v="26"/>
    <n v="2560.9479999999999"/>
  </r>
  <r>
    <s v="ORD1342"/>
    <x v="47"/>
    <s v="Priya Nair"/>
    <s v="CUST475"/>
    <x v="3"/>
    <x v="2"/>
    <x v="0"/>
    <x v="2"/>
    <x v="3"/>
    <s v="Polo Shirt"/>
    <s v="PROD5317"/>
    <n v="9"/>
    <n v="38742"/>
    <n v="348678"/>
    <n v="10"/>
    <n v="34867.800000000003"/>
    <n v="313810.2"/>
    <x v="2"/>
    <x v="1"/>
    <n v="21"/>
    <n v="65900.142000000007"/>
  </r>
  <r>
    <s v="ORD1343"/>
    <x v="132"/>
    <s v="Riya Das"/>
    <s v="CUST811"/>
    <x v="1"/>
    <x v="0"/>
    <x v="2"/>
    <x v="2"/>
    <x v="4"/>
    <s v="Basmati Rice"/>
    <s v="PROD5726"/>
    <n v="3"/>
    <n v="4408"/>
    <n v="13224"/>
    <n v="15"/>
    <n v="1983.6"/>
    <n v="11240.4"/>
    <x v="2"/>
    <x v="0"/>
    <n v="6"/>
    <n v="674.42399999999998"/>
  </r>
  <r>
    <s v="ORD1344"/>
    <x v="206"/>
    <s v="Amit Sharma"/>
    <s v="CUST415"/>
    <x v="3"/>
    <x v="7"/>
    <x v="2"/>
    <x v="2"/>
    <x v="3"/>
    <s v="Polo Shirt"/>
    <s v="PROD9095"/>
    <n v="5"/>
    <n v="25572"/>
    <n v="127860"/>
    <n v="5"/>
    <n v="6393"/>
    <n v="121467"/>
    <x v="3"/>
    <x v="1"/>
    <n v="11"/>
    <n v="13361.37"/>
  </r>
  <r>
    <s v="ORD1345"/>
    <x v="47"/>
    <s v="Manoj Kumar"/>
    <s v="CUST845"/>
    <x v="0"/>
    <x v="2"/>
    <x v="1"/>
    <x v="1"/>
    <x v="0"/>
    <s v="Boat Headphones"/>
    <s v="PROD3534"/>
    <n v="9"/>
    <n v="5227"/>
    <n v="47043"/>
    <n v="20"/>
    <n v="9408.6"/>
    <n v="37634.400000000001"/>
    <x v="1"/>
    <x v="2"/>
    <n v="26"/>
    <n v="9784.9439999999995"/>
  </r>
  <r>
    <s v="ORD1346"/>
    <x v="129"/>
    <s v="Priya Nair"/>
    <s v="CUST280"/>
    <x v="1"/>
    <x v="7"/>
    <x v="0"/>
    <x v="1"/>
    <x v="3"/>
    <s v="Basmati Rice"/>
    <s v="PROD3756"/>
    <n v="6"/>
    <n v="43052"/>
    <n v="258312"/>
    <n v="10"/>
    <n v="25831.200000000001"/>
    <n v="232480.8"/>
    <x v="3"/>
    <x v="1"/>
    <n v="8"/>
    <n v="18598.464"/>
  </r>
  <r>
    <s v="ORD1347"/>
    <x v="106"/>
    <s v="Riya Das"/>
    <s v="CUST890"/>
    <x v="1"/>
    <x v="6"/>
    <x v="0"/>
    <x v="2"/>
    <x v="2"/>
    <s v="Nike Shoes"/>
    <s v="PROD3974"/>
    <n v="4"/>
    <n v="48282"/>
    <n v="193128"/>
    <n v="20"/>
    <n v="38625.599999999999"/>
    <n v="154502.39999999999"/>
    <x v="2"/>
    <x v="0"/>
    <n v="28"/>
    <n v="43260.671999999999"/>
  </r>
  <r>
    <s v="ORD1348"/>
    <x v="160"/>
    <s v="Vikas Singh"/>
    <s v="CUST705"/>
    <x v="1"/>
    <x v="2"/>
    <x v="0"/>
    <x v="0"/>
    <x v="0"/>
    <s v="Boat Headphones"/>
    <s v="PROD7587"/>
    <n v="7"/>
    <n v="32309"/>
    <n v="226163"/>
    <n v="15"/>
    <n v="33924.449999999997"/>
    <n v="192238.55"/>
    <x v="1"/>
    <x v="2"/>
    <n v="10"/>
    <n v="19223.855"/>
  </r>
  <r>
    <s v="ORD1349"/>
    <x v="212"/>
    <s v="Priya Nair"/>
    <s v="CUST915"/>
    <x v="2"/>
    <x v="4"/>
    <x v="2"/>
    <x v="2"/>
    <x v="4"/>
    <s v="Dell Laptop"/>
    <s v="PROD2191"/>
    <n v="8"/>
    <n v="34226"/>
    <n v="273808"/>
    <n v="0"/>
    <n v="0"/>
    <n v="273808"/>
    <x v="2"/>
    <x v="1"/>
    <n v="12"/>
    <n v="32856.959999999999"/>
  </r>
  <r>
    <s v="ORD1350"/>
    <x v="213"/>
    <s v="Neha Gupta"/>
    <s v="CUST659"/>
    <x v="1"/>
    <x v="6"/>
    <x v="1"/>
    <x v="2"/>
    <x v="0"/>
    <s v="Dell Laptop"/>
    <s v="PROD1826"/>
    <n v="7"/>
    <n v="4862"/>
    <n v="34034"/>
    <n v="10"/>
    <n v="3403.4"/>
    <n v="30630.6"/>
    <x v="1"/>
    <x v="0"/>
    <n v="16"/>
    <n v="4900.8959999999997"/>
  </r>
  <r>
    <s v="ORD1351"/>
    <x v="27"/>
    <s v="Rohit Verma"/>
    <s v="CUST519"/>
    <x v="1"/>
    <x v="6"/>
    <x v="2"/>
    <x v="2"/>
    <x v="2"/>
    <s v="iPhone"/>
    <s v="PROD7624"/>
    <n v="3"/>
    <n v="44890"/>
    <n v="134670"/>
    <n v="10"/>
    <n v="13467"/>
    <n v="121203"/>
    <x v="3"/>
    <x v="2"/>
    <n v="23"/>
    <n v="27876.69"/>
  </r>
  <r>
    <s v="ORD1352"/>
    <x v="164"/>
    <s v="Amit Sharma"/>
    <s v="CUST580"/>
    <x v="3"/>
    <x v="5"/>
    <x v="0"/>
    <x v="2"/>
    <x v="5"/>
    <s v="Dell Laptop"/>
    <s v="PROD8790"/>
    <n v="4"/>
    <n v="41045"/>
    <n v="164180"/>
    <n v="20"/>
    <n v="32836"/>
    <n v="131344"/>
    <x v="3"/>
    <x v="1"/>
    <n v="26"/>
    <n v="34149.440000000002"/>
  </r>
  <r>
    <s v="ORD1353"/>
    <x v="172"/>
    <s v="Riya Das"/>
    <s v="CUST326"/>
    <x v="0"/>
    <x v="7"/>
    <x v="2"/>
    <x v="1"/>
    <x v="4"/>
    <s v="Basmati Rice"/>
    <s v="PROD9146"/>
    <n v="8"/>
    <n v="36963"/>
    <n v="295704"/>
    <n v="5"/>
    <n v="14785.2"/>
    <n v="280918.8"/>
    <x v="0"/>
    <x v="2"/>
    <n v="26"/>
    <n v="73038.887999999992"/>
  </r>
  <r>
    <s v="ORD1354"/>
    <x v="144"/>
    <s v="Neha Gupta"/>
    <s v="CUST701"/>
    <x v="0"/>
    <x v="3"/>
    <x v="2"/>
    <x v="2"/>
    <x v="0"/>
    <s v="Polo Shirt"/>
    <s v="PROD6287"/>
    <n v="1"/>
    <n v="19286"/>
    <n v="19286"/>
    <n v="15"/>
    <n v="2892.9"/>
    <n v="16393.099999999999"/>
    <x v="2"/>
    <x v="2"/>
    <n v="27"/>
    <n v="4426.1369999999997"/>
  </r>
  <r>
    <s v="ORD1355"/>
    <x v="161"/>
    <s v="Riya Das"/>
    <s v="CUST910"/>
    <x v="1"/>
    <x v="3"/>
    <x v="1"/>
    <x v="2"/>
    <x v="1"/>
    <s v="Boat Headphones"/>
    <s v="PROD9513"/>
    <n v="8"/>
    <n v="23542"/>
    <n v="188336"/>
    <n v="5"/>
    <n v="9416.7999999999993"/>
    <n v="178919.2"/>
    <x v="2"/>
    <x v="0"/>
    <n v="13"/>
    <n v="23259.495999999999"/>
  </r>
  <r>
    <s v="ORD1356"/>
    <x v="38"/>
    <s v="Kiran Patel"/>
    <s v="CUST881"/>
    <x v="1"/>
    <x v="5"/>
    <x v="1"/>
    <x v="2"/>
    <x v="1"/>
    <s v="Nike Shoes"/>
    <s v="PROD8370"/>
    <n v="9"/>
    <n v="30008"/>
    <n v="270072"/>
    <n v="20"/>
    <n v="54014.400000000001"/>
    <n v="216057.60000000001"/>
    <x v="0"/>
    <x v="0"/>
    <n v="20"/>
    <n v="43211.519999999997"/>
  </r>
  <r>
    <s v="ORD1357"/>
    <x v="214"/>
    <s v="Kiran Patel"/>
    <s v="CUST228"/>
    <x v="3"/>
    <x v="1"/>
    <x v="1"/>
    <x v="1"/>
    <x v="0"/>
    <s v="Basmati Rice"/>
    <s v="PROD3897"/>
    <n v="8"/>
    <n v="21935"/>
    <n v="175480"/>
    <n v="10"/>
    <n v="17548"/>
    <n v="157932"/>
    <x v="2"/>
    <x v="2"/>
    <n v="15"/>
    <n v="23689.8"/>
  </r>
  <r>
    <s v="ORD1358"/>
    <x v="166"/>
    <s v="Vikas Singh"/>
    <s v="CUST286"/>
    <x v="1"/>
    <x v="6"/>
    <x v="0"/>
    <x v="2"/>
    <x v="1"/>
    <s v="Polo Shirt"/>
    <s v="PROD1142"/>
    <n v="8"/>
    <n v="9640"/>
    <n v="77120"/>
    <n v="15"/>
    <n v="11568"/>
    <n v="65552"/>
    <x v="3"/>
    <x v="2"/>
    <n v="14"/>
    <n v="9177.2800000000007"/>
  </r>
  <r>
    <s v="ORD1359"/>
    <x v="192"/>
    <s v="Priya Nair"/>
    <s v="CUST647"/>
    <x v="3"/>
    <x v="1"/>
    <x v="2"/>
    <x v="2"/>
    <x v="2"/>
    <s v="Nike Shoes"/>
    <s v="PROD9616"/>
    <n v="2"/>
    <n v="21191"/>
    <n v="42382"/>
    <n v="10"/>
    <n v="4238.2"/>
    <n v="38143.800000000003"/>
    <x v="0"/>
    <x v="2"/>
    <n v="12"/>
    <n v="4577.2560000000003"/>
  </r>
  <r>
    <s v="ORD1360"/>
    <x v="162"/>
    <s v="Manoj Kumar"/>
    <s v="CUST418"/>
    <x v="2"/>
    <x v="1"/>
    <x v="2"/>
    <x v="0"/>
    <x v="4"/>
    <s v="Nike Shoes"/>
    <s v="PROD6022"/>
    <n v="10"/>
    <n v="16606"/>
    <n v="166060"/>
    <n v="15"/>
    <n v="24909"/>
    <n v="141151"/>
    <x v="0"/>
    <x v="1"/>
    <n v="24"/>
    <n v="33876.239999999998"/>
  </r>
  <r>
    <s v="ORD1361"/>
    <x v="215"/>
    <s v="Amit Sharma"/>
    <s v="CUST878"/>
    <x v="0"/>
    <x v="1"/>
    <x v="2"/>
    <x v="1"/>
    <x v="0"/>
    <s v="Dell Laptop"/>
    <s v="PROD1124"/>
    <n v="8"/>
    <n v="19819"/>
    <n v="158552"/>
    <n v="5"/>
    <n v="7927.6"/>
    <n v="150624.4"/>
    <x v="2"/>
    <x v="2"/>
    <n v="9"/>
    <n v="13556.196"/>
  </r>
  <r>
    <s v="ORD1362"/>
    <x v="216"/>
    <s v="Priya Nair"/>
    <s v="CUST255"/>
    <x v="3"/>
    <x v="4"/>
    <x v="1"/>
    <x v="1"/>
    <x v="2"/>
    <s v="Nike Shoes"/>
    <s v="PROD2306"/>
    <n v="9"/>
    <n v="42661"/>
    <n v="383949"/>
    <n v="10"/>
    <n v="38394.9"/>
    <n v="345554.1"/>
    <x v="0"/>
    <x v="1"/>
    <n v="30"/>
    <n v="103666.23"/>
  </r>
  <r>
    <s v="ORD1363"/>
    <x v="124"/>
    <s v="Manoj Kumar"/>
    <s v="CUST947"/>
    <x v="3"/>
    <x v="4"/>
    <x v="2"/>
    <x v="0"/>
    <x v="5"/>
    <s v="iPhone"/>
    <s v="PROD6620"/>
    <n v="3"/>
    <n v="25481"/>
    <n v="76443"/>
    <n v="0"/>
    <n v="0"/>
    <n v="76443"/>
    <x v="1"/>
    <x v="1"/>
    <n v="13"/>
    <n v="9937.59"/>
  </r>
  <r>
    <s v="ORD1364"/>
    <x v="217"/>
    <s v="Vikas Singh"/>
    <s v="CUST829"/>
    <x v="2"/>
    <x v="6"/>
    <x v="1"/>
    <x v="1"/>
    <x v="5"/>
    <s v="Basmati Rice"/>
    <s v="PROD4810"/>
    <n v="5"/>
    <n v="5282"/>
    <n v="26410"/>
    <n v="5"/>
    <n v="1320.5"/>
    <n v="25089.5"/>
    <x v="1"/>
    <x v="2"/>
    <n v="24"/>
    <n v="6021.48"/>
  </r>
  <r>
    <s v="ORD1365"/>
    <x v="74"/>
    <s v="Vikas Singh"/>
    <s v="CUST658"/>
    <x v="3"/>
    <x v="5"/>
    <x v="2"/>
    <x v="0"/>
    <x v="1"/>
    <s v="Basmati Rice"/>
    <s v="PROD3790"/>
    <n v="3"/>
    <n v="44873"/>
    <n v="134619"/>
    <n v="0"/>
    <n v="0"/>
    <n v="134619"/>
    <x v="1"/>
    <x v="2"/>
    <n v="19"/>
    <n v="25577.61"/>
  </r>
  <r>
    <s v="ORD1366"/>
    <x v="79"/>
    <s v="Arjun Mehta"/>
    <s v="CUST102"/>
    <x v="0"/>
    <x v="6"/>
    <x v="1"/>
    <x v="1"/>
    <x v="4"/>
    <s v="Nike Shoes"/>
    <s v="PROD9835"/>
    <n v="7"/>
    <n v="49999"/>
    <n v="349993"/>
    <n v="5"/>
    <n v="17499.650000000001"/>
    <n v="332493.34999999998"/>
    <x v="1"/>
    <x v="0"/>
    <n v="13"/>
    <n v="43224.135499999997"/>
  </r>
  <r>
    <s v="ORD1367"/>
    <x v="218"/>
    <s v="Kiran Patel"/>
    <s v="CUST433"/>
    <x v="1"/>
    <x v="7"/>
    <x v="2"/>
    <x v="1"/>
    <x v="3"/>
    <s v="Basmati Rice"/>
    <s v="PROD2535"/>
    <n v="4"/>
    <n v="14190"/>
    <n v="56760"/>
    <n v="15"/>
    <n v="8514"/>
    <n v="48246"/>
    <x v="2"/>
    <x v="0"/>
    <n v="26"/>
    <n v="12543.96"/>
  </r>
  <r>
    <s v="ORD1368"/>
    <x v="219"/>
    <s v="Priya Nair"/>
    <s v="CUST759"/>
    <x v="0"/>
    <x v="6"/>
    <x v="0"/>
    <x v="2"/>
    <x v="1"/>
    <s v="Basmati Rice"/>
    <s v="PROD8027"/>
    <n v="9"/>
    <n v="7611"/>
    <n v="68499"/>
    <n v="0"/>
    <n v="0"/>
    <n v="68499"/>
    <x v="1"/>
    <x v="2"/>
    <n v="18"/>
    <n v="12329.82"/>
  </r>
  <r>
    <s v="ORD1369"/>
    <x v="220"/>
    <s v="Kiran Patel"/>
    <s v="CUST335"/>
    <x v="1"/>
    <x v="0"/>
    <x v="0"/>
    <x v="2"/>
    <x v="4"/>
    <s v="Boat Headphones"/>
    <s v="PROD9229"/>
    <n v="1"/>
    <n v="6216"/>
    <n v="6216"/>
    <n v="20"/>
    <n v="1243.2"/>
    <n v="4972.8"/>
    <x v="0"/>
    <x v="0"/>
    <n v="15"/>
    <n v="745.92"/>
  </r>
  <r>
    <s v="ORD1370"/>
    <x v="129"/>
    <s v="Riya Das"/>
    <s v="CUST649"/>
    <x v="3"/>
    <x v="7"/>
    <x v="1"/>
    <x v="0"/>
    <x v="2"/>
    <s v="Boat Headphones"/>
    <s v="PROD7209"/>
    <n v="4"/>
    <n v="41751"/>
    <n v="167004"/>
    <n v="0"/>
    <n v="0"/>
    <n v="167004"/>
    <x v="1"/>
    <x v="2"/>
    <n v="21"/>
    <n v="35070.839999999997"/>
  </r>
  <r>
    <s v="ORD1371"/>
    <x v="124"/>
    <s v="Sana Khan"/>
    <s v="CUST852"/>
    <x v="0"/>
    <x v="5"/>
    <x v="0"/>
    <x v="0"/>
    <x v="1"/>
    <s v="Basmati Rice"/>
    <s v="PROD8056"/>
    <n v="7"/>
    <n v="11905"/>
    <n v="83335"/>
    <n v="10"/>
    <n v="8333.5"/>
    <n v="75001.5"/>
    <x v="0"/>
    <x v="1"/>
    <n v="10"/>
    <n v="7500.15"/>
  </r>
  <r>
    <s v="ORD1372"/>
    <x v="58"/>
    <s v="Sana Khan"/>
    <s v="CUST212"/>
    <x v="2"/>
    <x v="6"/>
    <x v="1"/>
    <x v="1"/>
    <x v="4"/>
    <s v="Polo Shirt"/>
    <s v="PROD7426"/>
    <n v="5"/>
    <n v="34326"/>
    <n v="171630"/>
    <n v="10"/>
    <n v="17163"/>
    <n v="154467"/>
    <x v="0"/>
    <x v="2"/>
    <n v="5"/>
    <n v="7723.35"/>
  </r>
  <r>
    <s v="ORD1373"/>
    <x v="11"/>
    <s v="Amit Sharma"/>
    <s v="CUST678"/>
    <x v="0"/>
    <x v="1"/>
    <x v="1"/>
    <x v="1"/>
    <x v="2"/>
    <s v="Basmati Rice"/>
    <s v="PROD7072"/>
    <n v="7"/>
    <n v="33966"/>
    <n v="237762"/>
    <n v="5"/>
    <n v="11888.1"/>
    <n v="225873.9"/>
    <x v="2"/>
    <x v="1"/>
    <n v="20"/>
    <n v="45174.78"/>
  </r>
  <r>
    <s v="ORD1374"/>
    <x v="221"/>
    <s v="Kiran Patel"/>
    <s v="CUST638"/>
    <x v="1"/>
    <x v="7"/>
    <x v="1"/>
    <x v="1"/>
    <x v="0"/>
    <s v="Nike Shoes"/>
    <s v="PROD3288"/>
    <n v="6"/>
    <n v="16752"/>
    <n v="100512"/>
    <n v="15"/>
    <n v="15076.8"/>
    <n v="85435.199999999997"/>
    <x v="2"/>
    <x v="2"/>
    <n v="6"/>
    <n v="5126.1119999999992"/>
  </r>
  <r>
    <s v="ORD1375"/>
    <x v="222"/>
    <s v="Priya Nair"/>
    <s v="CUST768"/>
    <x v="0"/>
    <x v="3"/>
    <x v="1"/>
    <x v="0"/>
    <x v="3"/>
    <s v="Polo Shirt"/>
    <s v="PROD9605"/>
    <n v="2"/>
    <n v="4076"/>
    <n v="8152"/>
    <n v="10"/>
    <n v="815.2"/>
    <n v="7336.8"/>
    <x v="2"/>
    <x v="0"/>
    <n v="26"/>
    <n v="1907.568"/>
  </r>
  <r>
    <s v="ORD1376"/>
    <x v="6"/>
    <s v="Kiran Patel"/>
    <s v="CUST367"/>
    <x v="0"/>
    <x v="3"/>
    <x v="1"/>
    <x v="0"/>
    <x v="4"/>
    <s v="Basmati Rice"/>
    <s v="PROD3205"/>
    <n v="6"/>
    <n v="5781"/>
    <n v="34686"/>
    <n v="10"/>
    <n v="3468.6"/>
    <n v="31217.4"/>
    <x v="2"/>
    <x v="1"/>
    <n v="22"/>
    <n v="6867.8280000000004"/>
  </r>
  <r>
    <s v="ORD1377"/>
    <x v="29"/>
    <s v="Manoj Kumar"/>
    <s v="CUST826"/>
    <x v="3"/>
    <x v="3"/>
    <x v="1"/>
    <x v="2"/>
    <x v="0"/>
    <s v="Nike Shoes"/>
    <s v="PROD4836"/>
    <n v="1"/>
    <n v="3863"/>
    <n v="3863"/>
    <n v="0"/>
    <n v="0"/>
    <n v="3863"/>
    <x v="1"/>
    <x v="1"/>
    <n v="10"/>
    <n v="386.3"/>
  </r>
  <r>
    <s v="ORD1378"/>
    <x v="15"/>
    <s v="Neha Gupta"/>
    <s v="CUST852"/>
    <x v="3"/>
    <x v="6"/>
    <x v="2"/>
    <x v="0"/>
    <x v="3"/>
    <s v="Dell Laptop"/>
    <s v="PROD1314"/>
    <n v="6"/>
    <n v="23852"/>
    <n v="143112"/>
    <n v="15"/>
    <n v="21466.799999999999"/>
    <n v="121645.2"/>
    <x v="0"/>
    <x v="0"/>
    <n v="18"/>
    <n v="21896.135999999999"/>
  </r>
  <r>
    <s v="ORD1379"/>
    <x v="159"/>
    <s v="Vikas Singh"/>
    <s v="CUST449"/>
    <x v="2"/>
    <x v="2"/>
    <x v="0"/>
    <x v="0"/>
    <x v="1"/>
    <s v="Polo Shirt"/>
    <s v="PROD1776"/>
    <n v="10"/>
    <n v="44191"/>
    <n v="441910"/>
    <n v="0"/>
    <n v="0"/>
    <n v="441910"/>
    <x v="1"/>
    <x v="2"/>
    <n v="22"/>
    <n v="97220.2"/>
  </r>
  <r>
    <s v="ORD1380"/>
    <x v="58"/>
    <s v="Riya Das"/>
    <s v="CUST155"/>
    <x v="2"/>
    <x v="0"/>
    <x v="1"/>
    <x v="2"/>
    <x v="5"/>
    <s v="Nike Shoes"/>
    <s v="PROD8856"/>
    <n v="4"/>
    <n v="3390"/>
    <n v="13560"/>
    <n v="0"/>
    <n v="0"/>
    <n v="13560"/>
    <x v="2"/>
    <x v="1"/>
    <n v="23"/>
    <n v="3118.8"/>
  </r>
  <r>
    <s v="ORD1381"/>
    <x v="223"/>
    <s v="Riya Das"/>
    <s v="CUST354"/>
    <x v="1"/>
    <x v="5"/>
    <x v="2"/>
    <x v="2"/>
    <x v="0"/>
    <s v="Dell Laptop"/>
    <s v="PROD3222"/>
    <n v="5"/>
    <n v="48902"/>
    <n v="244510"/>
    <n v="0"/>
    <n v="0"/>
    <n v="244510"/>
    <x v="0"/>
    <x v="0"/>
    <n v="28"/>
    <n v="68462.8"/>
  </r>
  <r>
    <s v="ORD1382"/>
    <x v="137"/>
    <s v="Rohit Verma"/>
    <s v="CUST631"/>
    <x v="1"/>
    <x v="0"/>
    <x v="2"/>
    <x v="0"/>
    <x v="1"/>
    <s v="iPhone"/>
    <s v="PROD6437"/>
    <n v="7"/>
    <n v="34960"/>
    <n v="244720"/>
    <n v="5"/>
    <n v="12236"/>
    <n v="232484"/>
    <x v="2"/>
    <x v="0"/>
    <n v="11"/>
    <n v="25573.24"/>
  </r>
  <r>
    <s v="ORD1383"/>
    <x v="76"/>
    <s v="Kiran Patel"/>
    <s v="CUST954"/>
    <x v="2"/>
    <x v="7"/>
    <x v="2"/>
    <x v="1"/>
    <x v="5"/>
    <s v="Nike Shoes"/>
    <s v="PROD8121"/>
    <n v="8"/>
    <n v="3777"/>
    <n v="30216"/>
    <n v="15"/>
    <n v="4532.3999999999996"/>
    <n v="25683.599999999999"/>
    <x v="3"/>
    <x v="2"/>
    <n v="22"/>
    <n v="5650.3919999999998"/>
  </r>
  <r>
    <s v="ORD1384"/>
    <x v="224"/>
    <s v="Kiran Patel"/>
    <s v="CUST718"/>
    <x v="0"/>
    <x v="1"/>
    <x v="1"/>
    <x v="1"/>
    <x v="3"/>
    <s v="Basmati Rice"/>
    <s v="PROD5541"/>
    <n v="6"/>
    <n v="48169"/>
    <n v="289014"/>
    <n v="5"/>
    <n v="14450.7"/>
    <n v="274563.3"/>
    <x v="1"/>
    <x v="2"/>
    <n v="24"/>
    <n v="65895.191999999995"/>
  </r>
  <r>
    <s v="ORD1385"/>
    <x v="161"/>
    <s v="Kiran Patel"/>
    <s v="CUST564"/>
    <x v="0"/>
    <x v="5"/>
    <x v="1"/>
    <x v="2"/>
    <x v="4"/>
    <s v="Basmati Rice"/>
    <s v="PROD3333"/>
    <n v="1"/>
    <n v="24638"/>
    <n v="24638"/>
    <n v="20"/>
    <n v="4927.6000000000004"/>
    <n v="19710.400000000001"/>
    <x v="1"/>
    <x v="0"/>
    <n v="22"/>
    <n v="4336.2879999999996"/>
  </r>
  <r>
    <s v="ORD1386"/>
    <x v="225"/>
    <s v="Vikas Singh"/>
    <s v="CUST153"/>
    <x v="3"/>
    <x v="4"/>
    <x v="1"/>
    <x v="0"/>
    <x v="2"/>
    <s v="iPhone"/>
    <s v="PROD2876"/>
    <n v="4"/>
    <n v="32330"/>
    <n v="129320"/>
    <n v="15"/>
    <n v="19398"/>
    <n v="109922"/>
    <x v="1"/>
    <x v="2"/>
    <n v="12"/>
    <n v="13190.64"/>
  </r>
  <r>
    <s v="ORD1387"/>
    <x v="117"/>
    <s v="Amit Sharma"/>
    <s v="CUST687"/>
    <x v="0"/>
    <x v="1"/>
    <x v="2"/>
    <x v="1"/>
    <x v="0"/>
    <s v="Nike Shoes"/>
    <s v="PROD9085"/>
    <n v="4"/>
    <n v="24426"/>
    <n v="97704"/>
    <n v="10"/>
    <n v="9770.4"/>
    <n v="87933.6"/>
    <x v="3"/>
    <x v="1"/>
    <n v="14"/>
    <n v="12310.704"/>
  </r>
  <r>
    <s v="ORD1388"/>
    <x v="226"/>
    <s v="Riya Das"/>
    <s v="CUST147"/>
    <x v="0"/>
    <x v="5"/>
    <x v="0"/>
    <x v="1"/>
    <x v="0"/>
    <s v="iPhone"/>
    <s v="PROD2006"/>
    <n v="5"/>
    <n v="44274"/>
    <n v="221370"/>
    <n v="5"/>
    <n v="11068.5"/>
    <n v="210301.5"/>
    <x v="2"/>
    <x v="0"/>
    <n v="7"/>
    <n v="14721.105"/>
  </r>
  <r>
    <s v="ORD1389"/>
    <x v="227"/>
    <s v="Amit Sharma"/>
    <s v="CUST688"/>
    <x v="1"/>
    <x v="3"/>
    <x v="0"/>
    <x v="2"/>
    <x v="0"/>
    <s v="Nike Shoes"/>
    <s v="PROD8699"/>
    <n v="10"/>
    <n v="2470"/>
    <n v="24700"/>
    <n v="15"/>
    <n v="3705"/>
    <n v="20995"/>
    <x v="1"/>
    <x v="1"/>
    <n v="14"/>
    <n v="2939.3"/>
  </r>
  <r>
    <s v="ORD1390"/>
    <x v="228"/>
    <s v="Vikas Singh"/>
    <s v="CUST533"/>
    <x v="0"/>
    <x v="0"/>
    <x v="0"/>
    <x v="1"/>
    <x v="0"/>
    <s v="Polo Shirt"/>
    <s v="PROD7255"/>
    <n v="6"/>
    <n v="20387"/>
    <n v="122322"/>
    <n v="5"/>
    <n v="6116.1"/>
    <n v="116205.9"/>
    <x v="3"/>
    <x v="1"/>
    <n v="20"/>
    <n v="23241.18"/>
  </r>
  <r>
    <s v="ORD1391"/>
    <x v="229"/>
    <s v="Sana Khan"/>
    <s v="CUST509"/>
    <x v="2"/>
    <x v="4"/>
    <x v="1"/>
    <x v="0"/>
    <x v="0"/>
    <s v="Boat Headphones"/>
    <s v="PROD6697"/>
    <n v="6"/>
    <n v="13419"/>
    <n v="80514"/>
    <n v="5"/>
    <n v="4025.7"/>
    <n v="76488.3"/>
    <x v="1"/>
    <x v="1"/>
    <n v="5"/>
    <n v="3824.415"/>
  </r>
  <r>
    <s v="ORD1392"/>
    <x v="44"/>
    <s v="Rohit Verma"/>
    <s v="CUST647"/>
    <x v="3"/>
    <x v="3"/>
    <x v="2"/>
    <x v="1"/>
    <x v="3"/>
    <s v="Basmati Rice"/>
    <s v="PROD8254"/>
    <n v="1"/>
    <n v="2576"/>
    <n v="2576"/>
    <n v="5"/>
    <n v="128.80000000000001"/>
    <n v="2447.1999999999998"/>
    <x v="2"/>
    <x v="2"/>
    <n v="5"/>
    <n v="122.36"/>
  </r>
  <r>
    <s v="ORD1393"/>
    <x v="17"/>
    <s v="Riya Das"/>
    <s v="CUST804"/>
    <x v="1"/>
    <x v="0"/>
    <x v="2"/>
    <x v="0"/>
    <x v="1"/>
    <s v="Basmati Rice"/>
    <s v="PROD1075"/>
    <n v="3"/>
    <n v="6140"/>
    <n v="18420"/>
    <n v="5"/>
    <n v="921"/>
    <n v="17499"/>
    <x v="1"/>
    <x v="0"/>
    <n v="26"/>
    <n v="4549.74"/>
  </r>
  <r>
    <s v="ORD1394"/>
    <x v="210"/>
    <s v="Rohit Verma"/>
    <s v="CUST973"/>
    <x v="1"/>
    <x v="2"/>
    <x v="2"/>
    <x v="1"/>
    <x v="2"/>
    <s v="Basmati Rice"/>
    <s v="PROD9350"/>
    <n v="7"/>
    <n v="1999"/>
    <n v="13993"/>
    <n v="15"/>
    <n v="2098.9499999999998"/>
    <n v="11894.05"/>
    <x v="2"/>
    <x v="1"/>
    <n v="19"/>
    <n v="2259.8694999999998"/>
  </r>
  <r>
    <s v="ORD1395"/>
    <x v="230"/>
    <s v="Neha Gupta"/>
    <s v="CUST449"/>
    <x v="3"/>
    <x v="7"/>
    <x v="2"/>
    <x v="1"/>
    <x v="2"/>
    <s v="Nike Shoes"/>
    <s v="PROD8248"/>
    <n v="1"/>
    <n v="31388"/>
    <n v="31388"/>
    <n v="0"/>
    <n v="0"/>
    <n v="31388"/>
    <x v="2"/>
    <x v="2"/>
    <n v="19"/>
    <n v="5963.72"/>
  </r>
  <r>
    <s v="ORD1396"/>
    <x v="150"/>
    <s v="Amit Sharma"/>
    <s v="CUST715"/>
    <x v="0"/>
    <x v="2"/>
    <x v="0"/>
    <x v="0"/>
    <x v="3"/>
    <s v="Dell Laptop"/>
    <s v="PROD7690"/>
    <n v="8"/>
    <n v="43880"/>
    <n v="351040"/>
    <n v="0"/>
    <n v="0"/>
    <n v="351040"/>
    <x v="0"/>
    <x v="0"/>
    <n v="12"/>
    <n v="42124.800000000003"/>
  </r>
  <r>
    <s v="ORD1397"/>
    <x v="2"/>
    <s v="Neha Gupta"/>
    <s v="CUST548"/>
    <x v="3"/>
    <x v="7"/>
    <x v="2"/>
    <x v="0"/>
    <x v="3"/>
    <s v="Polo Shirt"/>
    <s v="PROD9265"/>
    <n v="10"/>
    <n v="41630"/>
    <n v="416300"/>
    <n v="20"/>
    <n v="83260"/>
    <n v="333040"/>
    <x v="0"/>
    <x v="0"/>
    <n v="26"/>
    <n v="86590.399999999994"/>
  </r>
  <r>
    <s v="ORD1398"/>
    <x v="134"/>
    <s v="Arjun Mehta"/>
    <s v="CUST764"/>
    <x v="0"/>
    <x v="5"/>
    <x v="0"/>
    <x v="0"/>
    <x v="3"/>
    <s v="Basmati Rice"/>
    <s v="PROD4095"/>
    <n v="1"/>
    <n v="30405"/>
    <n v="30405"/>
    <n v="15"/>
    <n v="4560.75"/>
    <n v="25844.25"/>
    <x v="3"/>
    <x v="1"/>
    <n v="11"/>
    <n v="2842.8674999999998"/>
  </r>
  <r>
    <s v="ORD1399"/>
    <x v="149"/>
    <s v="Arjun Mehta"/>
    <s v="CUST993"/>
    <x v="1"/>
    <x v="0"/>
    <x v="1"/>
    <x v="0"/>
    <x v="2"/>
    <s v="Nike Shoes"/>
    <s v="PROD2755"/>
    <n v="1"/>
    <n v="31798"/>
    <n v="31798"/>
    <n v="20"/>
    <n v="6359.6"/>
    <n v="25438.400000000001"/>
    <x v="1"/>
    <x v="1"/>
    <n v="20"/>
    <n v="5087.68"/>
  </r>
  <r>
    <s v="ORD1400"/>
    <x v="24"/>
    <s v="Rohit Verma"/>
    <s v="CUST876"/>
    <x v="1"/>
    <x v="1"/>
    <x v="2"/>
    <x v="0"/>
    <x v="1"/>
    <s v="Nike Shoes"/>
    <s v="PROD1982"/>
    <n v="9"/>
    <n v="23624"/>
    <n v="212616"/>
    <n v="20"/>
    <n v="42523.199999999997"/>
    <n v="170092.79999999999"/>
    <x v="3"/>
    <x v="2"/>
    <n v="5"/>
    <n v="8504.64"/>
  </r>
  <r>
    <s v="ORD1401"/>
    <x v="48"/>
    <s v="Amit Sharma"/>
    <s v="CUST469"/>
    <x v="0"/>
    <x v="6"/>
    <x v="2"/>
    <x v="2"/>
    <x v="5"/>
    <s v="Nike Shoes"/>
    <s v="PROD6123"/>
    <n v="8"/>
    <n v="1814"/>
    <n v="14512"/>
    <n v="15"/>
    <n v="2176.8000000000002"/>
    <n v="12335.2"/>
    <x v="0"/>
    <x v="0"/>
    <n v="30"/>
    <n v="3700.56"/>
  </r>
  <r>
    <s v="ORD1402"/>
    <x v="54"/>
    <s v="Arjun Mehta"/>
    <s v="CUST717"/>
    <x v="0"/>
    <x v="1"/>
    <x v="0"/>
    <x v="2"/>
    <x v="1"/>
    <s v="Nike Shoes"/>
    <s v="PROD6814"/>
    <n v="1"/>
    <n v="5252"/>
    <n v="5252"/>
    <n v="20"/>
    <n v="1050.4000000000001"/>
    <n v="4201.6000000000004"/>
    <x v="1"/>
    <x v="1"/>
    <n v="28"/>
    <n v="1176.4480000000001"/>
  </r>
  <r>
    <s v="ORD1403"/>
    <x v="231"/>
    <s v="Sana Khan"/>
    <s v="CUST400"/>
    <x v="1"/>
    <x v="6"/>
    <x v="2"/>
    <x v="0"/>
    <x v="4"/>
    <s v="Boat Headphones"/>
    <s v="PROD1006"/>
    <n v="5"/>
    <n v="25999"/>
    <n v="129995"/>
    <n v="15"/>
    <n v="19499.25"/>
    <n v="110495.75"/>
    <x v="3"/>
    <x v="1"/>
    <n v="8"/>
    <n v="8839.66"/>
  </r>
  <r>
    <s v="ORD1404"/>
    <x v="3"/>
    <s v="Riya Das"/>
    <s v="CUST771"/>
    <x v="1"/>
    <x v="4"/>
    <x v="0"/>
    <x v="1"/>
    <x v="3"/>
    <s v="Basmati Rice"/>
    <s v="PROD6618"/>
    <n v="7"/>
    <n v="8560"/>
    <n v="59920"/>
    <n v="20"/>
    <n v="11984"/>
    <n v="47936"/>
    <x v="2"/>
    <x v="0"/>
    <n v="28"/>
    <n v="13422.08"/>
  </r>
  <r>
    <s v="ORD1405"/>
    <x v="14"/>
    <s v="Priya Nair"/>
    <s v="CUST332"/>
    <x v="0"/>
    <x v="4"/>
    <x v="2"/>
    <x v="0"/>
    <x v="2"/>
    <s v="Basmati Rice"/>
    <s v="PROD9792"/>
    <n v="7"/>
    <n v="24633"/>
    <n v="172431"/>
    <n v="15"/>
    <n v="25864.65"/>
    <n v="146566.35"/>
    <x v="1"/>
    <x v="0"/>
    <n v="13"/>
    <n v="19053.625499999998"/>
  </r>
  <r>
    <s v="ORD1406"/>
    <x v="232"/>
    <s v="Priya Nair"/>
    <s v="CUST230"/>
    <x v="3"/>
    <x v="6"/>
    <x v="0"/>
    <x v="1"/>
    <x v="1"/>
    <s v="Nike Shoes"/>
    <s v="PROD7743"/>
    <n v="4"/>
    <n v="18527"/>
    <n v="74108"/>
    <n v="0"/>
    <n v="0"/>
    <n v="74108"/>
    <x v="3"/>
    <x v="0"/>
    <n v="22"/>
    <n v="16303.76"/>
  </r>
  <r>
    <s v="ORD1407"/>
    <x v="233"/>
    <s v="Riya Das"/>
    <s v="CUST290"/>
    <x v="1"/>
    <x v="6"/>
    <x v="1"/>
    <x v="2"/>
    <x v="1"/>
    <s v="Basmati Rice"/>
    <s v="PROD6926"/>
    <n v="1"/>
    <n v="7336"/>
    <n v="7336"/>
    <n v="0"/>
    <n v="0"/>
    <n v="7336"/>
    <x v="3"/>
    <x v="0"/>
    <n v="30"/>
    <n v="2200.8000000000002"/>
  </r>
  <r>
    <s v="ORD1408"/>
    <x v="177"/>
    <s v="Manoj Kumar"/>
    <s v="CUST630"/>
    <x v="3"/>
    <x v="0"/>
    <x v="1"/>
    <x v="1"/>
    <x v="2"/>
    <s v="Basmati Rice"/>
    <s v="PROD4665"/>
    <n v="9"/>
    <n v="11582"/>
    <n v="104238"/>
    <n v="20"/>
    <n v="20847.599999999999"/>
    <n v="83390.399999999994"/>
    <x v="0"/>
    <x v="1"/>
    <n v="13"/>
    <n v="10840.752"/>
  </r>
  <r>
    <s v="ORD1409"/>
    <x v="193"/>
    <s v="Sana Khan"/>
    <s v="CUST175"/>
    <x v="1"/>
    <x v="2"/>
    <x v="0"/>
    <x v="0"/>
    <x v="3"/>
    <s v="iPhone"/>
    <s v="PROD6118"/>
    <n v="3"/>
    <n v="21986"/>
    <n v="65958"/>
    <n v="15"/>
    <n v="9893.7000000000007"/>
    <n v="56064.3"/>
    <x v="2"/>
    <x v="0"/>
    <n v="25"/>
    <n v="14016.075000000001"/>
  </r>
  <r>
    <s v="ORD1410"/>
    <x v="92"/>
    <s v="Neha Gupta"/>
    <s v="CUST531"/>
    <x v="2"/>
    <x v="1"/>
    <x v="2"/>
    <x v="0"/>
    <x v="4"/>
    <s v="Dell Laptop"/>
    <s v="PROD5342"/>
    <n v="9"/>
    <n v="34140"/>
    <n v="307260"/>
    <n v="0"/>
    <n v="0"/>
    <n v="307260"/>
    <x v="1"/>
    <x v="1"/>
    <n v="16"/>
    <n v="49161.599999999999"/>
  </r>
  <r>
    <s v="ORD1411"/>
    <x v="29"/>
    <s v="Vikas Singh"/>
    <s v="CUST403"/>
    <x v="2"/>
    <x v="7"/>
    <x v="0"/>
    <x v="2"/>
    <x v="1"/>
    <s v="Boat Headphones"/>
    <s v="PROD4343"/>
    <n v="6"/>
    <n v="47224"/>
    <n v="283344"/>
    <n v="5"/>
    <n v="14167.2"/>
    <n v="269176.8"/>
    <x v="1"/>
    <x v="2"/>
    <n v="6"/>
    <n v="16150.608"/>
  </r>
  <r>
    <s v="ORD1412"/>
    <x v="206"/>
    <s v="Rohit Verma"/>
    <s v="CUST852"/>
    <x v="1"/>
    <x v="7"/>
    <x v="1"/>
    <x v="0"/>
    <x v="1"/>
    <s v="Polo Shirt"/>
    <s v="PROD3419"/>
    <n v="3"/>
    <n v="33174"/>
    <n v="99522"/>
    <n v="10"/>
    <n v="9952.2000000000007"/>
    <n v="89569.8"/>
    <x v="0"/>
    <x v="1"/>
    <n v="29"/>
    <n v="25975.241999999998"/>
  </r>
  <r>
    <s v="ORD1413"/>
    <x v="62"/>
    <s v="Neha Gupta"/>
    <s v="CUST525"/>
    <x v="0"/>
    <x v="7"/>
    <x v="2"/>
    <x v="0"/>
    <x v="5"/>
    <s v="Boat Headphones"/>
    <s v="PROD6907"/>
    <n v="4"/>
    <n v="35279"/>
    <n v="141116"/>
    <n v="15"/>
    <n v="21167.4"/>
    <n v="119948.6"/>
    <x v="1"/>
    <x v="1"/>
    <n v="18"/>
    <n v="21590.748"/>
  </r>
  <r>
    <s v="ORD1414"/>
    <x v="38"/>
    <s v="Vikas Singh"/>
    <s v="CUST497"/>
    <x v="2"/>
    <x v="3"/>
    <x v="0"/>
    <x v="0"/>
    <x v="4"/>
    <s v="Dell Laptop"/>
    <s v="PROD2371"/>
    <n v="3"/>
    <n v="3374"/>
    <n v="10122"/>
    <n v="15"/>
    <n v="1518.3"/>
    <n v="8603.7000000000007"/>
    <x v="0"/>
    <x v="0"/>
    <n v="20"/>
    <n v="1720.74"/>
  </r>
  <r>
    <s v="ORD1415"/>
    <x v="234"/>
    <s v="Kiran Patel"/>
    <s v="CUST662"/>
    <x v="3"/>
    <x v="4"/>
    <x v="2"/>
    <x v="0"/>
    <x v="0"/>
    <s v="Boat Headphones"/>
    <s v="PROD6558"/>
    <n v="4"/>
    <n v="33085"/>
    <n v="132340"/>
    <n v="10"/>
    <n v="13234"/>
    <n v="119106"/>
    <x v="1"/>
    <x v="2"/>
    <n v="16"/>
    <n v="19056.96"/>
  </r>
  <r>
    <s v="ORD1416"/>
    <x v="235"/>
    <s v="Neha Gupta"/>
    <s v="CUST745"/>
    <x v="0"/>
    <x v="4"/>
    <x v="2"/>
    <x v="2"/>
    <x v="5"/>
    <s v="Nike Shoes"/>
    <s v="PROD4234"/>
    <n v="6"/>
    <n v="43126"/>
    <n v="258756"/>
    <n v="10"/>
    <n v="25875.599999999999"/>
    <n v="232880.4"/>
    <x v="2"/>
    <x v="2"/>
    <n v="23"/>
    <n v="53562.491999999998"/>
  </r>
  <r>
    <s v="ORD1417"/>
    <x v="236"/>
    <s v="Sana Khan"/>
    <s v="CUST404"/>
    <x v="3"/>
    <x v="0"/>
    <x v="2"/>
    <x v="2"/>
    <x v="4"/>
    <s v="Boat Headphones"/>
    <s v="PROD7327"/>
    <n v="1"/>
    <n v="752"/>
    <n v="752"/>
    <n v="0"/>
    <n v="0"/>
    <n v="752"/>
    <x v="3"/>
    <x v="2"/>
    <n v="14"/>
    <n v="105.28"/>
  </r>
  <r>
    <s v="ORD1418"/>
    <x v="237"/>
    <s v="Rohit Verma"/>
    <s v="CUST500"/>
    <x v="3"/>
    <x v="3"/>
    <x v="1"/>
    <x v="0"/>
    <x v="2"/>
    <s v="Dell Laptop"/>
    <s v="PROD2964"/>
    <n v="4"/>
    <n v="14121"/>
    <n v="56484"/>
    <n v="10"/>
    <n v="5648.4"/>
    <n v="50835.6"/>
    <x v="1"/>
    <x v="2"/>
    <n v="24"/>
    <n v="12200.544"/>
  </r>
  <r>
    <s v="ORD1419"/>
    <x v="230"/>
    <s v="Arjun Mehta"/>
    <s v="CUST683"/>
    <x v="2"/>
    <x v="0"/>
    <x v="2"/>
    <x v="2"/>
    <x v="0"/>
    <s v="Dell Laptop"/>
    <s v="PROD5063"/>
    <n v="1"/>
    <n v="13737"/>
    <n v="13737"/>
    <n v="20"/>
    <n v="2747.4"/>
    <n v="10989.6"/>
    <x v="0"/>
    <x v="0"/>
    <n v="7"/>
    <n v="769.27199999999993"/>
  </r>
  <r>
    <s v="ORD1420"/>
    <x v="214"/>
    <s v="Kiran Patel"/>
    <s v="CUST601"/>
    <x v="0"/>
    <x v="0"/>
    <x v="1"/>
    <x v="0"/>
    <x v="5"/>
    <s v="Basmati Rice"/>
    <s v="PROD5921"/>
    <n v="2"/>
    <n v="38220"/>
    <n v="76440"/>
    <n v="15"/>
    <n v="11466"/>
    <n v="64974"/>
    <x v="0"/>
    <x v="1"/>
    <n v="5"/>
    <n v="3248.7"/>
  </r>
  <r>
    <s v="ORD1421"/>
    <x v="107"/>
    <s v="Kiran Patel"/>
    <s v="CUST937"/>
    <x v="2"/>
    <x v="4"/>
    <x v="0"/>
    <x v="0"/>
    <x v="1"/>
    <s v="iPhone"/>
    <s v="PROD8068"/>
    <n v="3"/>
    <n v="39307"/>
    <n v="117921"/>
    <n v="10"/>
    <n v="11792.1"/>
    <n v="106128.9"/>
    <x v="3"/>
    <x v="2"/>
    <n v="21"/>
    <n v="22287.069"/>
  </r>
  <r>
    <s v="ORD1422"/>
    <x v="238"/>
    <s v="Rohit Verma"/>
    <s v="CUST231"/>
    <x v="0"/>
    <x v="3"/>
    <x v="1"/>
    <x v="0"/>
    <x v="2"/>
    <s v="Basmati Rice"/>
    <s v="PROD2671"/>
    <n v="2"/>
    <n v="23687"/>
    <n v="47374"/>
    <n v="0"/>
    <n v="0"/>
    <n v="47374"/>
    <x v="3"/>
    <x v="1"/>
    <n v="26"/>
    <n v="12317.24"/>
  </r>
  <r>
    <s v="ORD1423"/>
    <x v="239"/>
    <s v="Priya Nair"/>
    <s v="CUST694"/>
    <x v="2"/>
    <x v="1"/>
    <x v="2"/>
    <x v="1"/>
    <x v="1"/>
    <s v="Boat Headphones"/>
    <s v="PROD5886"/>
    <n v="7"/>
    <n v="23266"/>
    <n v="162862"/>
    <n v="0"/>
    <n v="0"/>
    <n v="162862"/>
    <x v="2"/>
    <x v="0"/>
    <n v="15"/>
    <n v="24429.3"/>
  </r>
  <r>
    <s v="ORD1424"/>
    <x v="240"/>
    <s v="Rohit Verma"/>
    <s v="CUST751"/>
    <x v="3"/>
    <x v="3"/>
    <x v="2"/>
    <x v="1"/>
    <x v="1"/>
    <s v="Boat Headphones"/>
    <s v="PROD9156"/>
    <n v="10"/>
    <n v="28991"/>
    <n v="289910"/>
    <n v="15"/>
    <n v="43486.5"/>
    <n v="246423.5"/>
    <x v="1"/>
    <x v="0"/>
    <n v="18"/>
    <n v="44356.23"/>
  </r>
  <r>
    <s v="ORD1425"/>
    <x v="241"/>
    <s v="Rohit Verma"/>
    <s v="CUST467"/>
    <x v="2"/>
    <x v="2"/>
    <x v="1"/>
    <x v="2"/>
    <x v="4"/>
    <s v="Nike Shoes"/>
    <s v="PROD2554"/>
    <n v="10"/>
    <n v="7456"/>
    <n v="74560"/>
    <n v="20"/>
    <n v="14912"/>
    <n v="59648"/>
    <x v="2"/>
    <x v="1"/>
    <n v="30"/>
    <n v="17894.400000000001"/>
  </r>
  <r>
    <s v="ORD1426"/>
    <x v="242"/>
    <s v="Kiran Patel"/>
    <s v="CUST682"/>
    <x v="0"/>
    <x v="6"/>
    <x v="0"/>
    <x v="1"/>
    <x v="1"/>
    <s v="Boat Headphones"/>
    <s v="PROD7046"/>
    <n v="6"/>
    <n v="11421"/>
    <n v="68526"/>
    <n v="0"/>
    <n v="0"/>
    <n v="68526"/>
    <x v="1"/>
    <x v="1"/>
    <n v="10"/>
    <n v="6852.6"/>
  </r>
  <r>
    <s v="ORD1427"/>
    <x v="239"/>
    <s v="Sana Khan"/>
    <s v="CUST454"/>
    <x v="1"/>
    <x v="1"/>
    <x v="1"/>
    <x v="2"/>
    <x v="4"/>
    <s v="Boat Headphones"/>
    <s v="PROD5985"/>
    <n v="1"/>
    <n v="10800"/>
    <n v="10800"/>
    <n v="0"/>
    <n v="0"/>
    <n v="10800"/>
    <x v="2"/>
    <x v="2"/>
    <n v="16"/>
    <n v="1728"/>
  </r>
  <r>
    <s v="ORD1428"/>
    <x v="240"/>
    <s v="Neha Gupta"/>
    <s v="CUST517"/>
    <x v="2"/>
    <x v="4"/>
    <x v="0"/>
    <x v="1"/>
    <x v="5"/>
    <s v="iPhone"/>
    <s v="PROD1852"/>
    <n v="3"/>
    <n v="21009"/>
    <n v="63027"/>
    <n v="15"/>
    <n v="9454.0499999999993"/>
    <n v="53572.95"/>
    <x v="1"/>
    <x v="0"/>
    <n v="8"/>
    <n v="4285.8359999999993"/>
  </r>
  <r>
    <s v="ORD1429"/>
    <x v="243"/>
    <s v="Priya Nair"/>
    <s v="CUST128"/>
    <x v="1"/>
    <x v="1"/>
    <x v="1"/>
    <x v="0"/>
    <x v="3"/>
    <s v="Dell Laptop"/>
    <s v="PROD9719"/>
    <n v="10"/>
    <n v="13167"/>
    <n v="131670"/>
    <n v="20"/>
    <n v="26334"/>
    <n v="105336"/>
    <x v="3"/>
    <x v="1"/>
    <n v="5"/>
    <n v="5266.8"/>
  </r>
  <r>
    <s v="ORD1430"/>
    <x v="124"/>
    <s v="Priya Nair"/>
    <s v="CUST460"/>
    <x v="3"/>
    <x v="3"/>
    <x v="0"/>
    <x v="0"/>
    <x v="1"/>
    <s v="Basmati Rice"/>
    <s v="PROD4265"/>
    <n v="10"/>
    <n v="45907"/>
    <n v="459070"/>
    <n v="10"/>
    <n v="45907"/>
    <n v="413163"/>
    <x v="1"/>
    <x v="1"/>
    <n v="16"/>
    <n v="66106.080000000002"/>
  </r>
  <r>
    <s v="ORD1431"/>
    <x v="128"/>
    <s v="Riya Das"/>
    <s v="CUST946"/>
    <x v="2"/>
    <x v="1"/>
    <x v="0"/>
    <x v="2"/>
    <x v="5"/>
    <s v="Boat Headphones"/>
    <s v="PROD9375"/>
    <n v="9"/>
    <n v="7688"/>
    <n v="69192"/>
    <n v="5"/>
    <n v="3459.6"/>
    <n v="65732.399999999994"/>
    <x v="2"/>
    <x v="2"/>
    <n v="21"/>
    <n v="13803.804"/>
  </r>
  <r>
    <s v="ORD1432"/>
    <x v="187"/>
    <s v="Manoj Kumar"/>
    <s v="CUST400"/>
    <x v="0"/>
    <x v="6"/>
    <x v="2"/>
    <x v="2"/>
    <x v="1"/>
    <s v="Boat Headphones"/>
    <s v="PROD9222"/>
    <n v="8"/>
    <n v="3383"/>
    <n v="27064"/>
    <n v="5"/>
    <n v="1353.2"/>
    <n v="25710.799999999999"/>
    <x v="3"/>
    <x v="0"/>
    <n v="22"/>
    <n v="5656.3760000000002"/>
  </r>
  <r>
    <s v="ORD1433"/>
    <x v="51"/>
    <s v="Neha Gupta"/>
    <s v="CUST904"/>
    <x v="3"/>
    <x v="7"/>
    <x v="0"/>
    <x v="0"/>
    <x v="2"/>
    <s v="Boat Headphones"/>
    <s v="PROD6618"/>
    <n v="1"/>
    <n v="38770"/>
    <n v="38770"/>
    <n v="20"/>
    <n v="7754"/>
    <n v="31016"/>
    <x v="1"/>
    <x v="2"/>
    <n v="27"/>
    <n v="8374.32"/>
  </r>
  <r>
    <s v="ORD1434"/>
    <x v="79"/>
    <s v="Rohit Verma"/>
    <s v="CUST531"/>
    <x v="1"/>
    <x v="6"/>
    <x v="2"/>
    <x v="0"/>
    <x v="2"/>
    <s v="Nike Shoes"/>
    <s v="PROD6430"/>
    <n v="9"/>
    <n v="10668"/>
    <n v="96012"/>
    <n v="5"/>
    <n v="4800.6000000000004"/>
    <n v="91211.4"/>
    <x v="1"/>
    <x v="0"/>
    <n v="26"/>
    <n v="23714.964"/>
  </r>
  <r>
    <s v="ORD1435"/>
    <x v="42"/>
    <s v="Amit Sharma"/>
    <s v="CUST335"/>
    <x v="1"/>
    <x v="3"/>
    <x v="1"/>
    <x v="1"/>
    <x v="4"/>
    <s v="iPhone"/>
    <s v="PROD7613"/>
    <n v="3"/>
    <n v="40472"/>
    <n v="121416"/>
    <n v="20"/>
    <n v="24283.200000000001"/>
    <n v="97132.800000000003"/>
    <x v="0"/>
    <x v="0"/>
    <n v="15"/>
    <n v="14569.92"/>
  </r>
  <r>
    <s v="ORD1436"/>
    <x v="167"/>
    <s v="Rohit Verma"/>
    <s v="CUST830"/>
    <x v="1"/>
    <x v="4"/>
    <x v="2"/>
    <x v="0"/>
    <x v="3"/>
    <s v="Dell Laptop"/>
    <s v="PROD2692"/>
    <n v="3"/>
    <n v="42006"/>
    <n v="126018"/>
    <n v="10"/>
    <n v="12601.8"/>
    <n v="113416.2"/>
    <x v="3"/>
    <x v="2"/>
    <n v="16"/>
    <n v="18146.592000000001"/>
  </r>
  <r>
    <s v="ORD1437"/>
    <x v="13"/>
    <s v="Arjun Mehta"/>
    <s v="CUST423"/>
    <x v="0"/>
    <x v="0"/>
    <x v="0"/>
    <x v="1"/>
    <x v="5"/>
    <s v="Nike Shoes"/>
    <s v="PROD8146"/>
    <n v="3"/>
    <n v="14520"/>
    <n v="43560"/>
    <n v="10"/>
    <n v="4356"/>
    <n v="39204"/>
    <x v="2"/>
    <x v="0"/>
    <n v="28"/>
    <n v="10977.12"/>
  </r>
  <r>
    <s v="ORD1438"/>
    <x v="216"/>
    <s v="Priya Nair"/>
    <s v="CUST260"/>
    <x v="3"/>
    <x v="2"/>
    <x v="0"/>
    <x v="2"/>
    <x v="4"/>
    <s v="iPhone"/>
    <s v="PROD8259"/>
    <n v="2"/>
    <n v="35692"/>
    <n v="71384"/>
    <n v="0"/>
    <n v="0"/>
    <n v="71384"/>
    <x v="0"/>
    <x v="0"/>
    <n v="11"/>
    <n v="7852.24"/>
  </r>
  <r>
    <s v="ORD1439"/>
    <x v="61"/>
    <s v="Manoj Kumar"/>
    <s v="CUST120"/>
    <x v="1"/>
    <x v="1"/>
    <x v="1"/>
    <x v="2"/>
    <x v="3"/>
    <s v="Polo Shirt"/>
    <s v="PROD7835"/>
    <n v="6"/>
    <n v="3039"/>
    <n v="18234"/>
    <n v="10"/>
    <n v="1823.4"/>
    <n v="16410.599999999999"/>
    <x v="0"/>
    <x v="1"/>
    <n v="21"/>
    <n v="3446.2260000000001"/>
  </r>
  <r>
    <s v="ORD1440"/>
    <x v="8"/>
    <s v="Manoj Kumar"/>
    <s v="CUST573"/>
    <x v="0"/>
    <x v="4"/>
    <x v="0"/>
    <x v="0"/>
    <x v="3"/>
    <s v="Nike Shoes"/>
    <s v="PROD4238"/>
    <n v="10"/>
    <n v="47948"/>
    <n v="479480"/>
    <n v="20"/>
    <n v="95896"/>
    <n v="383584"/>
    <x v="2"/>
    <x v="0"/>
    <n v="16"/>
    <n v="61373.440000000002"/>
  </r>
  <r>
    <s v="ORD1441"/>
    <x v="231"/>
    <s v="Kiran Patel"/>
    <s v="CUST412"/>
    <x v="0"/>
    <x v="3"/>
    <x v="1"/>
    <x v="1"/>
    <x v="0"/>
    <s v="Dell Laptop"/>
    <s v="PROD4854"/>
    <n v="10"/>
    <n v="40710"/>
    <n v="407100"/>
    <n v="15"/>
    <n v="61065"/>
    <n v="346035"/>
    <x v="3"/>
    <x v="1"/>
    <n v="29"/>
    <n v="100350.15"/>
  </r>
  <r>
    <s v="ORD1442"/>
    <x v="210"/>
    <s v="Rohit Verma"/>
    <s v="CUST146"/>
    <x v="0"/>
    <x v="4"/>
    <x v="0"/>
    <x v="1"/>
    <x v="0"/>
    <s v="Dell Laptop"/>
    <s v="PROD8449"/>
    <n v="2"/>
    <n v="45650"/>
    <n v="91300"/>
    <n v="0"/>
    <n v="0"/>
    <n v="91300"/>
    <x v="0"/>
    <x v="2"/>
    <n v="24"/>
    <n v="21912"/>
  </r>
  <r>
    <s v="ORD1443"/>
    <x v="244"/>
    <s v="Neha Gupta"/>
    <s v="CUST272"/>
    <x v="0"/>
    <x v="6"/>
    <x v="1"/>
    <x v="1"/>
    <x v="0"/>
    <s v="Nike Shoes"/>
    <s v="PROD8214"/>
    <n v="6"/>
    <n v="27250"/>
    <n v="163500"/>
    <n v="20"/>
    <n v="32700"/>
    <n v="130800"/>
    <x v="2"/>
    <x v="1"/>
    <n v="29"/>
    <n v="37932"/>
  </r>
  <r>
    <s v="ORD1444"/>
    <x v="125"/>
    <s v="Riya Das"/>
    <s v="CUST954"/>
    <x v="3"/>
    <x v="0"/>
    <x v="0"/>
    <x v="0"/>
    <x v="5"/>
    <s v="Boat Headphones"/>
    <s v="PROD4831"/>
    <n v="4"/>
    <n v="20111"/>
    <n v="80444"/>
    <n v="0"/>
    <n v="0"/>
    <n v="80444"/>
    <x v="3"/>
    <x v="2"/>
    <n v="14"/>
    <n v="11262.16"/>
  </r>
  <r>
    <s v="ORD1445"/>
    <x v="171"/>
    <s v="Neha Gupta"/>
    <s v="CUST793"/>
    <x v="1"/>
    <x v="7"/>
    <x v="2"/>
    <x v="1"/>
    <x v="0"/>
    <s v="Polo Shirt"/>
    <s v="PROD5594"/>
    <n v="3"/>
    <n v="14283"/>
    <n v="42849"/>
    <n v="15"/>
    <n v="6427.35"/>
    <n v="36421.65"/>
    <x v="3"/>
    <x v="2"/>
    <n v="21"/>
    <n v="7648.5465000000004"/>
  </r>
  <r>
    <s v="ORD1446"/>
    <x v="85"/>
    <s v="Manoj Kumar"/>
    <s v="CUST664"/>
    <x v="1"/>
    <x v="4"/>
    <x v="1"/>
    <x v="1"/>
    <x v="1"/>
    <s v="Basmati Rice"/>
    <s v="PROD3246"/>
    <n v="6"/>
    <n v="30975"/>
    <n v="185850"/>
    <n v="20"/>
    <n v="37170"/>
    <n v="148680"/>
    <x v="1"/>
    <x v="1"/>
    <n v="14"/>
    <n v="20815.2"/>
  </r>
  <r>
    <s v="ORD1447"/>
    <x v="84"/>
    <s v="Sana Khan"/>
    <s v="CUST432"/>
    <x v="2"/>
    <x v="7"/>
    <x v="0"/>
    <x v="1"/>
    <x v="3"/>
    <s v="iPhone"/>
    <s v="PROD3342"/>
    <n v="1"/>
    <n v="8169"/>
    <n v="8169"/>
    <n v="15"/>
    <n v="1225.3499999999999"/>
    <n v="6943.65"/>
    <x v="1"/>
    <x v="1"/>
    <n v="26"/>
    <n v="1805.3489999999999"/>
  </r>
  <r>
    <s v="ORD1448"/>
    <x v="113"/>
    <s v="Manoj Kumar"/>
    <s v="CUST200"/>
    <x v="1"/>
    <x v="5"/>
    <x v="0"/>
    <x v="2"/>
    <x v="0"/>
    <s v="Dell Laptop"/>
    <s v="PROD6210"/>
    <n v="3"/>
    <n v="22588"/>
    <n v="67764"/>
    <n v="20"/>
    <n v="13552.8"/>
    <n v="54211.199999999997"/>
    <x v="0"/>
    <x v="1"/>
    <n v="21"/>
    <n v="11384.352000000001"/>
  </r>
  <r>
    <s v="ORD1449"/>
    <x v="245"/>
    <s v="Neha Gupta"/>
    <s v="CUST207"/>
    <x v="2"/>
    <x v="2"/>
    <x v="0"/>
    <x v="0"/>
    <x v="0"/>
    <s v="Nike Shoes"/>
    <s v="PROD4100"/>
    <n v="5"/>
    <n v="13028"/>
    <n v="65140"/>
    <n v="15"/>
    <n v="9771"/>
    <n v="55369"/>
    <x v="1"/>
    <x v="2"/>
    <n v="20"/>
    <n v="11073.8"/>
  </r>
  <r>
    <s v="ORD1450"/>
    <x v="49"/>
    <s v="Arjun Mehta"/>
    <s v="CUST185"/>
    <x v="2"/>
    <x v="2"/>
    <x v="1"/>
    <x v="1"/>
    <x v="5"/>
    <s v="Boat Headphones"/>
    <s v="PROD4534"/>
    <n v="7"/>
    <n v="38380"/>
    <n v="268660"/>
    <n v="10"/>
    <n v="26866"/>
    <n v="241794"/>
    <x v="2"/>
    <x v="2"/>
    <n v="28"/>
    <n v="67702.320000000007"/>
  </r>
  <r>
    <s v="ORD1451"/>
    <x v="246"/>
    <s v="Manoj Kumar"/>
    <s v="CUST808"/>
    <x v="2"/>
    <x v="1"/>
    <x v="1"/>
    <x v="2"/>
    <x v="5"/>
    <s v="Boat Headphones"/>
    <s v="PROD1884"/>
    <n v="3"/>
    <n v="6181"/>
    <n v="18543"/>
    <n v="10"/>
    <n v="1854.3"/>
    <n v="16688.7"/>
    <x v="0"/>
    <x v="0"/>
    <n v="12"/>
    <n v="2002.644"/>
  </r>
  <r>
    <s v="ORD1452"/>
    <x v="13"/>
    <s v="Riya Das"/>
    <s v="CUST997"/>
    <x v="3"/>
    <x v="4"/>
    <x v="1"/>
    <x v="2"/>
    <x v="5"/>
    <s v="Polo Shirt"/>
    <s v="PROD7230"/>
    <n v="5"/>
    <n v="32382"/>
    <n v="161910"/>
    <n v="0"/>
    <n v="0"/>
    <n v="161910"/>
    <x v="3"/>
    <x v="2"/>
    <n v="26"/>
    <n v="42096.6"/>
  </r>
  <r>
    <s v="ORD1453"/>
    <x v="247"/>
    <s v="Riya Das"/>
    <s v="CUST645"/>
    <x v="1"/>
    <x v="0"/>
    <x v="2"/>
    <x v="0"/>
    <x v="4"/>
    <s v="Boat Headphones"/>
    <s v="PROD5405"/>
    <n v="4"/>
    <n v="23301"/>
    <n v="93204"/>
    <n v="0"/>
    <n v="0"/>
    <n v="93204"/>
    <x v="3"/>
    <x v="1"/>
    <n v="16"/>
    <n v="14912.64"/>
  </r>
  <r>
    <s v="ORD1454"/>
    <x v="51"/>
    <s v="Neha Gupta"/>
    <s v="CUST179"/>
    <x v="0"/>
    <x v="5"/>
    <x v="2"/>
    <x v="2"/>
    <x v="5"/>
    <s v="Polo Shirt"/>
    <s v="PROD1569"/>
    <n v="9"/>
    <n v="22487"/>
    <n v="202383"/>
    <n v="15"/>
    <n v="30357.45"/>
    <n v="172025.55"/>
    <x v="3"/>
    <x v="1"/>
    <n v="17"/>
    <n v="29244.343499999999"/>
  </r>
  <r>
    <s v="ORD1455"/>
    <x v="248"/>
    <s v="Neha Gupta"/>
    <s v="CUST333"/>
    <x v="2"/>
    <x v="5"/>
    <x v="0"/>
    <x v="0"/>
    <x v="5"/>
    <s v="Nike Shoes"/>
    <s v="PROD4215"/>
    <n v="2"/>
    <n v="43882"/>
    <n v="87764"/>
    <n v="5"/>
    <n v="4388.2"/>
    <n v="83375.8"/>
    <x v="2"/>
    <x v="2"/>
    <n v="7"/>
    <n v="5836.3059999999996"/>
  </r>
  <r>
    <s v="ORD1456"/>
    <x v="46"/>
    <s v="Rohit Verma"/>
    <s v="CUST140"/>
    <x v="2"/>
    <x v="1"/>
    <x v="0"/>
    <x v="1"/>
    <x v="5"/>
    <s v="Boat Headphones"/>
    <s v="PROD5449"/>
    <n v="1"/>
    <n v="15426"/>
    <n v="15426"/>
    <n v="15"/>
    <n v="2313.9"/>
    <n v="13112.1"/>
    <x v="2"/>
    <x v="0"/>
    <n v="8"/>
    <n v="1048.9680000000001"/>
  </r>
  <r>
    <s v="ORD1457"/>
    <x v="240"/>
    <s v="Sana Khan"/>
    <s v="CUST523"/>
    <x v="2"/>
    <x v="3"/>
    <x v="2"/>
    <x v="2"/>
    <x v="5"/>
    <s v="Basmati Rice"/>
    <s v="PROD5229"/>
    <n v="4"/>
    <n v="18181"/>
    <n v="72724"/>
    <n v="0"/>
    <n v="0"/>
    <n v="72724"/>
    <x v="3"/>
    <x v="2"/>
    <n v="23"/>
    <n v="16726.52"/>
  </r>
  <r>
    <s v="ORD1458"/>
    <x v="249"/>
    <s v="Rohit Verma"/>
    <s v="CUST899"/>
    <x v="1"/>
    <x v="7"/>
    <x v="1"/>
    <x v="0"/>
    <x v="3"/>
    <s v="Basmati Rice"/>
    <s v="PROD3315"/>
    <n v="5"/>
    <n v="26640"/>
    <n v="133200"/>
    <n v="10"/>
    <n v="13320"/>
    <n v="119880"/>
    <x v="3"/>
    <x v="2"/>
    <n v="11"/>
    <n v="13186.8"/>
  </r>
  <r>
    <s v="ORD1459"/>
    <x v="172"/>
    <s v="Manoj Kumar"/>
    <s v="CUST329"/>
    <x v="3"/>
    <x v="5"/>
    <x v="0"/>
    <x v="2"/>
    <x v="3"/>
    <s v="iPhone"/>
    <s v="PROD8042"/>
    <n v="9"/>
    <n v="2616"/>
    <n v="23544"/>
    <n v="15"/>
    <n v="3531.6"/>
    <n v="20012.400000000001"/>
    <x v="2"/>
    <x v="0"/>
    <n v="24"/>
    <n v="4802.9760000000006"/>
  </r>
  <r>
    <s v="ORD1460"/>
    <x v="248"/>
    <s v="Arjun Mehta"/>
    <s v="CUST526"/>
    <x v="0"/>
    <x v="7"/>
    <x v="1"/>
    <x v="2"/>
    <x v="2"/>
    <s v="Basmati Rice"/>
    <s v="PROD2522"/>
    <n v="10"/>
    <n v="17385"/>
    <n v="173850"/>
    <n v="5"/>
    <n v="8692.5"/>
    <n v="165157.5"/>
    <x v="3"/>
    <x v="0"/>
    <n v="17"/>
    <n v="28076.775000000001"/>
  </r>
  <r>
    <s v="ORD1461"/>
    <x v="250"/>
    <s v="Arjun Mehta"/>
    <s v="CUST690"/>
    <x v="2"/>
    <x v="2"/>
    <x v="0"/>
    <x v="0"/>
    <x v="0"/>
    <s v="Polo Shirt"/>
    <s v="PROD1552"/>
    <n v="8"/>
    <n v="10281"/>
    <n v="82248"/>
    <n v="0"/>
    <n v="0"/>
    <n v="82248"/>
    <x v="0"/>
    <x v="0"/>
    <n v="28"/>
    <n v="23029.439999999999"/>
  </r>
  <r>
    <s v="ORD1462"/>
    <x v="100"/>
    <s v="Amit Sharma"/>
    <s v="CUST681"/>
    <x v="2"/>
    <x v="0"/>
    <x v="0"/>
    <x v="0"/>
    <x v="2"/>
    <s v="Boat Headphones"/>
    <s v="PROD9606"/>
    <n v="3"/>
    <n v="9644"/>
    <n v="28932"/>
    <n v="15"/>
    <n v="4339.8"/>
    <n v="24592.2"/>
    <x v="3"/>
    <x v="0"/>
    <n v="27"/>
    <n v="6639.8940000000002"/>
  </r>
  <r>
    <s v="ORD1463"/>
    <x v="187"/>
    <s v="Priya Nair"/>
    <s v="CUST261"/>
    <x v="3"/>
    <x v="7"/>
    <x v="2"/>
    <x v="1"/>
    <x v="5"/>
    <s v="iPhone"/>
    <s v="PROD7021"/>
    <n v="6"/>
    <n v="35783"/>
    <n v="214698"/>
    <n v="5"/>
    <n v="10734.9"/>
    <n v="203963.1"/>
    <x v="3"/>
    <x v="1"/>
    <n v="27"/>
    <n v="55070.036999999997"/>
  </r>
  <r>
    <s v="ORD1464"/>
    <x v="251"/>
    <s v="Priya Nair"/>
    <s v="CUST265"/>
    <x v="2"/>
    <x v="5"/>
    <x v="0"/>
    <x v="2"/>
    <x v="1"/>
    <s v="Dell Laptop"/>
    <s v="PROD8384"/>
    <n v="2"/>
    <n v="43813"/>
    <n v="87626"/>
    <n v="15"/>
    <n v="13143.9"/>
    <n v="74482.100000000006"/>
    <x v="0"/>
    <x v="2"/>
    <n v="8"/>
    <n v="5958.5680000000002"/>
  </r>
  <r>
    <s v="ORD1465"/>
    <x v="203"/>
    <s v="Amit Sharma"/>
    <s v="CUST261"/>
    <x v="2"/>
    <x v="5"/>
    <x v="0"/>
    <x v="2"/>
    <x v="0"/>
    <s v="Basmati Rice"/>
    <s v="PROD7308"/>
    <n v="4"/>
    <n v="39186"/>
    <n v="156744"/>
    <n v="5"/>
    <n v="7837.2"/>
    <n v="148906.79999999999"/>
    <x v="2"/>
    <x v="1"/>
    <n v="21"/>
    <n v="31270.428"/>
  </r>
  <r>
    <s v="ORD1466"/>
    <x v="214"/>
    <s v="Priya Nair"/>
    <s v="CUST716"/>
    <x v="3"/>
    <x v="2"/>
    <x v="2"/>
    <x v="0"/>
    <x v="1"/>
    <s v="Basmati Rice"/>
    <s v="PROD7107"/>
    <n v="1"/>
    <n v="38424"/>
    <n v="38424"/>
    <n v="0"/>
    <n v="0"/>
    <n v="38424"/>
    <x v="3"/>
    <x v="2"/>
    <n v="15"/>
    <n v="5763.6"/>
  </r>
  <r>
    <s v="ORD1467"/>
    <x v="30"/>
    <s v="Kiran Patel"/>
    <s v="CUST297"/>
    <x v="3"/>
    <x v="3"/>
    <x v="0"/>
    <x v="0"/>
    <x v="5"/>
    <s v="Basmati Rice"/>
    <s v="PROD7647"/>
    <n v="6"/>
    <n v="41337"/>
    <n v="248022"/>
    <n v="10"/>
    <n v="24802.2"/>
    <n v="223219.8"/>
    <x v="0"/>
    <x v="1"/>
    <n v="22"/>
    <n v="49108.356"/>
  </r>
  <r>
    <s v="ORD1468"/>
    <x v="252"/>
    <s v="Amit Sharma"/>
    <s v="CUST142"/>
    <x v="3"/>
    <x v="1"/>
    <x v="0"/>
    <x v="2"/>
    <x v="2"/>
    <s v="Polo Shirt"/>
    <s v="PROD3934"/>
    <n v="1"/>
    <n v="3609"/>
    <n v="3609"/>
    <n v="5"/>
    <n v="180.45"/>
    <n v="3428.55"/>
    <x v="3"/>
    <x v="2"/>
    <n v="12"/>
    <n v="411.42599999999999"/>
  </r>
  <r>
    <s v="ORD1469"/>
    <x v="229"/>
    <s v="Priya Nair"/>
    <s v="CUST832"/>
    <x v="0"/>
    <x v="2"/>
    <x v="2"/>
    <x v="0"/>
    <x v="4"/>
    <s v="Dell Laptop"/>
    <s v="PROD4983"/>
    <n v="1"/>
    <n v="24537"/>
    <n v="24537"/>
    <n v="15"/>
    <n v="3680.55"/>
    <n v="20856.45"/>
    <x v="1"/>
    <x v="0"/>
    <n v="23"/>
    <n v="4796.9835000000003"/>
  </r>
  <r>
    <s v="ORD1470"/>
    <x v="41"/>
    <s v="Kiran Patel"/>
    <s v="CUST593"/>
    <x v="0"/>
    <x v="1"/>
    <x v="2"/>
    <x v="2"/>
    <x v="4"/>
    <s v="iPhone"/>
    <s v="PROD3099"/>
    <n v="3"/>
    <n v="41351"/>
    <n v="124053"/>
    <n v="15"/>
    <n v="18607.95"/>
    <n v="105445.05"/>
    <x v="1"/>
    <x v="1"/>
    <n v="18"/>
    <n v="18980.109"/>
  </r>
  <r>
    <s v="ORD1471"/>
    <x v="253"/>
    <s v="Manoj Kumar"/>
    <s v="CUST944"/>
    <x v="1"/>
    <x v="0"/>
    <x v="1"/>
    <x v="1"/>
    <x v="1"/>
    <s v="Basmati Rice"/>
    <s v="PROD3485"/>
    <n v="9"/>
    <n v="31668"/>
    <n v="285012"/>
    <n v="15"/>
    <n v="42751.8"/>
    <n v="242260.2"/>
    <x v="0"/>
    <x v="0"/>
    <n v="20"/>
    <n v="48452.04"/>
  </r>
  <r>
    <s v="ORD1472"/>
    <x v="207"/>
    <s v="Kiran Patel"/>
    <s v="CUST268"/>
    <x v="3"/>
    <x v="1"/>
    <x v="1"/>
    <x v="1"/>
    <x v="5"/>
    <s v="iPhone"/>
    <s v="PROD7999"/>
    <n v="8"/>
    <n v="8780"/>
    <n v="70240"/>
    <n v="5"/>
    <n v="3512"/>
    <n v="66728"/>
    <x v="1"/>
    <x v="2"/>
    <n v="23"/>
    <n v="15347.44"/>
  </r>
  <r>
    <s v="ORD1473"/>
    <x v="7"/>
    <s v="Riya Das"/>
    <s v="CUST279"/>
    <x v="2"/>
    <x v="6"/>
    <x v="2"/>
    <x v="2"/>
    <x v="4"/>
    <s v="Dell Laptop"/>
    <s v="PROD1630"/>
    <n v="5"/>
    <n v="42934"/>
    <n v="214670"/>
    <n v="20"/>
    <n v="42934"/>
    <n v="171736"/>
    <x v="3"/>
    <x v="2"/>
    <n v="5"/>
    <n v="8586.7999999999993"/>
  </r>
  <r>
    <s v="ORD1474"/>
    <x v="1"/>
    <s v="Manoj Kumar"/>
    <s v="CUST567"/>
    <x v="3"/>
    <x v="3"/>
    <x v="1"/>
    <x v="0"/>
    <x v="4"/>
    <s v="iPhone"/>
    <s v="PROD8667"/>
    <n v="4"/>
    <n v="33581"/>
    <n v="134324"/>
    <n v="10"/>
    <n v="13432.4"/>
    <n v="120891.6"/>
    <x v="3"/>
    <x v="1"/>
    <n v="15"/>
    <n v="18133.740000000002"/>
  </r>
  <r>
    <s v="ORD1475"/>
    <x v="144"/>
    <s v="Riya Das"/>
    <s v="CUST598"/>
    <x v="3"/>
    <x v="2"/>
    <x v="1"/>
    <x v="1"/>
    <x v="3"/>
    <s v="Boat Headphones"/>
    <s v="PROD3434"/>
    <n v="9"/>
    <n v="1919"/>
    <n v="17271"/>
    <n v="20"/>
    <n v="3454.2"/>
    <n v="13816.8"/>
    <x v="2"/>
    <x v="0"/>
    <n v="30"/>
    <n v="4145.04"/>
  </r>
  <r>
    <s v="ORD1476"/>
    <x v="91"/>
    <s v="Sana Khan"/>
    <s v="CUST182"/>
    <x v="0"/>
    <x v="5"/>
    <x v="2"/>
    <x v="2"/>
    <x v="4"/>
    <s v="Polo Shirt"/>
    <s v="PROD5154"/>
    <n v="9"/>
    <n v="8513"/>
    <n v="76617"/>
    <n v="5"/>
    <n v="3830.85"/>
    <n v="72786.149999999994"/>
    <x v="2"/>
    <x v="0"/>
    <n v="13"/>
    <n v="9462.1994999999988"/>
  </r>
  <r>
    <s v="ORD1477"/>
    <x v="254"/>
    <s v="Manoj Kumar"/>
    <s v="CUST997"/>
    <x v="0"/>
    <x v="1"/>
    <x v="2"/>
    <x v="2"/>
    <x v="4"/>
    <s v="Basmati Rice"/>
    <s v="PROD7315"/>
    <n v="6"/>
    <n v="19877"/>
    <n v="119262"/>
    <n v="0"/>
    <n v="0"/>
    <n v="119262"/>
    <x v="2"/>
    <x v="2"/>
    <n v="29"/>
    <n v="34585.980000000003"/>
  </r>
  <r>
    <s v="ORD1478"/>
    <x v="0"/>
    <s v="Vikas Singh"/>
    <s v="CUST569"/>
    <x v="1"/>
    <x v="1"/>
    <x v="2"/>
    <x v="1"/>
    <x v="4"/>
    <s v="Basmati Rice"/>
    <s v="PROD9284"/>
    <n v="6"/>
    <n v="21978"/>
    <n v="131868"/>
    <n v="5"/>
    <n v="6593.4"/>
    <n v="125274.6"/>
    <x v="3"/>
    <x v="2"/>
    <n v="8"/>
    <n v="10021.968000000001"/>
  </r>
  <r>
    <s v="ORD1479"/>
    <x v="52"/>
    <s v="Sana Khan"/>
    <s v="CUST349"/>
    <x v="0"/>
    <x v="5"/>
    <x v="0"/>
    <x v="1"/>
    <x v="0"/>
    <s v="Dell Laptop"/>
    <s v="PROD7548"/>
    <n v="4"/>
    <n v="30048"/>
    <n v="120192"/>
    <n v="20"/>
    <n v="24038.400000000001"/>
    <n v="96153.600000000006"/>
    <x v="3"/>
    <x v="2"/>
    <n v="10"/>
    <n v="9615.36"/>
  </r>
  <r>
    <s v="ORD1480"/>
    <x v="130"/>
    <s v="Vikas Singh"/>
    <s v="CUST988"/>
    <x v="1"/>
    <x v="1"/>
    <x v="2"/>
    <x v="0"/>
    <x v="1"/>
    <s v="Boat Headphones"/>
    <s v="PROD6936"/>
    <n v="8"/>
    <n v="38238"/>
    <n v="305904"/>
    <n v="20"/>
    <n v="61180.800000000003"/>
    <n v="244723.20000000001"/>
    <x v="2"/>
    <x v="2"/>
    <n v="18"/>
    <n v="44050.176000000007"/>
  </r>
  <r>
    <s v="ORD1481"/>
    <x v="118"/>
    <s v="Vikas Singh"/>
    <s v="CUST735"/>
    <x v="2"/>
    <x v="6"/>
    <x v="1"/>
    <x v="0"/>
    <x v="2"/>
    <s v="Basmati Rice"/>
    <s v="PROD2802"/>
    <n v="3"/>
    <n v="15400"/>
    <n v="46200"/>
    <n v="5"/>
    <n v="2310"/>
    <n v="43890"/>
    <x v="1"/>
    <x v="1"/>
    <n v="19"/>
    <n v="8339.1"/>
  </r>
  <r>
    <s v="ORD1482"/>
    <x v="255"/>
    <s v="Amit Sharma"/>
    <s v="CUST817"/>
    <x v="0"/>
    <x v="6"/>
    <x v="0"/>
    <x v="1"/>
    <x v="5"/>
    <s v="Boat Headphones"/>
    <s v="PROD2504"/>
    <n v="10"/>
    <n v="6946"/>
    <n v="69460"/>
    <n v="0"/>
    <n v="0"/>
    <n v="69460"/>
    <x v="3"/>
    <x v="2"/>
    <n v="7"/>
    <n v="4862.2"/>
  </r>
  <r>
    <s v="ORD1483"/>
    <x v="234"/>
    <s v="Amit Sharma"/>
    <s v="CUST637"/>
    <x v="2"/>
    <x v="4"/>
    <x v="0"/>
    <x v="2"/>
    <x v="1"/>
    <s v="iPhone"/>
    <s v="PROD8474"/>
    <n v="3"/>
    <n v="1367"/>
    <n v="4101"/>
    <n v="10"/>
    <n v="410.1"/>
    <n v="3690.9"/>
    <x v="0"/>
    <x v="2"/>
    <n v="29"/>
    <n v="1070.3610000000001"/>
  </r>
  <r>
    <s v="ORD1484"/>
    <x v="201"/>
    <s v="Neha Gupta"/>
    <s v="CUST557"/>
    <x v="0"/>
    <x v="2"/>
    <x v="0"/>
    <x v="2"/>
    <x v="2"/>
    <s v="Boat Headphones"/>
    <s v="PROD2938"/>
    <n v="9"/>
    <n v="42442"/>
    <n v="381978"/>
    <n v="5"/>
    <n v="19098.900000000001"/>
    <n v="362879.1"/>
    <x v="2"/>
    <x v="2"/>
    <n v="29"/>
    <n v="105234.939"/>
  </r>
  <r>
    <s v="ORD1485"/>
    <x v="239"/>
    <s v="Neha Gupta"/>
    <s v="CUST359"/>
    <x v="0"/>
    <x v="4"/>
    <x v="1"/>
    <x v="1"/>
    <x v="1"/>
    <s v="Polo Shirt"/>
    <s v="PROD5975"/>
    <n v="3"/>
    <n v="5604"/>
    <n v="16812"/>
    <n v="20"/>
    <n v="3362.4"/>
    <n v="13449.6"/>
    <x v="3"/>
    <x v="1"/>
    <n v="10"/>
    <n v="1344.96"/>
  </r>
  <r>
    <s v="ORD1486"/>
    <x v="173"/>
    <s v="Neha Gupta"/>
    <s v="CUST511"/>
    <x v="2"/>
    <x v="0"/>
    <x v="0"/>
    <x v="1"/>
    <x v="2"/>
    <s v="Polo Shirt"/>
    <s v="PROD3310"/>
    <n v="10"/>
    <n v="22565"/>
    <n v="225650"/>
    <n v="0"/>
    <n v="0"/>
    <n v="225650"/>
    <x v="0"/>
    <x v="0"/>
    <n v="7"/>
    <n v="15795.5"/>
  </r>
  <r>
    <s v="ORD1487"/>
    <x v="256"/>
    <s v="Riya Das"/>
    <s v="CUST849"/>
    <x v="0"/>
    <x v="3"/>
    <x v="0"/>
    <x v="0"/>
    <x v="4"/>
    <s v="Dell Laptop"/>
    <s v="PROD9508"/>
    <n v="6"/>
    <n v="45887"/>
    <n v="275322"/>
    <n v="15"/>
    <n v="41298.300000000003"/>
    <n v="234023.7"/>
    <x v="1"/>
    <x v="1"/>
    <n v="9"/>
    <n v="21062.133000000002"/>
  </r>
  <r>
    <s v="ORD1488"/>
    <x v="48"/>
    <s v="Kiran Patel"/>
    <s v="CUST721"/>
    <x v="1"/>
    <x v="3"/>
    <x v="1"/>
    <x v="0"/>
    <x v="0"/>
    <s v="Boat Headphones"/>
    <s v="PROD5480"/>
    <n v="4"/>
    <n v="544"/>
    <n v="2176"/>
    <n v="5"/>
    <n v="108.8"/>
    <n v="2067.1999999999998"/>
    <x v="0"/>
    <x v="1"/>
    <n v="24"/>
    <n v="496.12799999999987"/>
  </r>
  <r>
    <s v="ORD1489"/>
    <x v="248"/>
    <s v="Priya Nair"/>
    <s v="CUST538"/>
    <x v="3"/>
    <x v="7"/>
    <x v="0"/>
    <x v="2"/>
    <x v="5"/>
    <s v="Dell Laptop"/>
    <s v="PROD1494"/>
    <n v="6"/>
    <n v="11947"/>
    <n v="71682"/>
    <n v="0"/>
    <n v="0"/>
    <n v="71682"/>
    <x v="0"/>
    <x v="2"/>
    <n v="11"/>
    <n v="7885.02"/>
  </r>
  <r>
    <s v="ORD1490"/>
    <x v="257"/>
    <s v="Rohit Verma"/>
    <s v="CUST585"/>
    <x v="1"/>
    <x v="7"/>
    <x v="1"/>
    <x v="1"/>
    <x v="3"/>
    <s v="Polo Shirt"/>
    <s v="PROD2393"/>
    <n v="2"/>
    <n v="1892"/>
    <n v="3784"/>
    <n v="0"/>
    <n v="0"/>
    <n v="3784"/>
    <x v="3"/>
    <x v="0"/>
    <n v="21"/>
    <n v="794.64"/>
  </r>
  <r>
    <s v="ORD1491"/>
    <x v="30"/>
    <s v="Amit Sharma"/>
    <s v="CUST708"/>
    <x v="1"/>
    <x v="1"/>
    <x v="0"/>
    <x v="2"/>
    <x v="1"/>
    <s v="Boat Headphones"/>
    <s v="PROD1007"/>
    <n v="1"/>
    <n v="14647"/>
    <n v="14647"/>
    <n v="20"/>
    <n v="2929.4"/>
    <n v="11717.6"/>
    <x v="3"/>
    <x v="2"/>
    <n v="19"/>
    <n v="2226.3440000000001"/>
  </r>
  <r>
    <s v="ORD1492"/>
    <x v="257"/>
    <s v="Priya Nair"/>
    <s v="CUST181"/>
    <x v="2"/>
    <x v="2"/>
    <x v="0"/>
    <x v="0"/>
    <x v="3"/>
    <s v="Basmati Rice"/>
    <s v="PROD2162"/>
    <n v="7"/>
    <n v="26389"/>
    <n v="184723"/>
    <n v="10"/>
    <n v="18472.3"/>
    <n v="166250.70000000001"/>
    <x v="0"/>
    <x v="1"/>
    <n v="21"/>
    <n v="34912.646999999997"/>
  </r>
  <r>
    <s v="ORD1493"/>
    <x v="246"/>
    <s v="Sana Khan"/>
    <s v="CUST373"/>
    <x v="2"/>
    <x v="2"/>
    <x v="1"/>
    <x v="1"/>
    <x v="3"/>
    <s v="iPhone"/>
    <s v="PROD1431"/>
    <n v="8"/>
    <n v="16304"/>
    <n v="130432"/>
    <n v="20"/>
    <n v="26086.400000000001"/>
    <n v="104345.60000000001"/>
    <x v="2"/>
    <x v="0"/>
    <n v="12"/>
    <n v="12521.472"/>
  </r>
  <r>
    <s v="ORD1494"/>
    <x v="4"/>
    <s v="Rohit Verma"/>
    <s v="CUST159"/>
    <x v="2"/>
    <x v="3"/>
    <x v="0"/>
    <x v="2"/>
    <x v="5"/>
    <s v="iPhone"/>
    <s v="PROD3861"/>
    <n v="5"/>
    <n v="9694"/>
    <n v="48470"/>
    <n v="0"/>
    <n v="0"/>
    <n v="48470"/>
    <x v="2"/>
    <x v="2"/>
    <n v="22"/>
    <n v="10663.4"/>
  </r>
  <r>
    <s v="ORD1495"/>
    <x v="258"/>
    <s v="Neha Gupta"/>
    <s v="CUST464"/>
    <x v="2"/>
    <x v="7"/>
    <x v="2"/>
    <x v="2"/>
    <x v="2"/>
    <s v="Nike Shoes"/>
    <s v="PROD9423"/>
    <n v="10"/>
    <n v="41768"/>
    <n v="417680"/>
    <n v="20"/>
    <n v="83536"/>
    <n v="334144"/>
    <x v="0"/>
    <x v="2"/>
    <n v="18"/>
    <n v="60145.919999999998"/>
  </r>
  <r>
    <s v="ORD1496"/>
    <x v="259"/>
    <s v="Neha Gupta"/>
    <s v="CUST618"/>
    <x v="3"/>
    <x v="6"/>
    <x v="1"/>
    <x v="1"/>
    <x v="1"/>
    <s v="Boat Headphones"/>
    <s v="PROD5281"/>
    <n v="6"/>
    <n v="12507"/>
    <n v="75042"/>
    <n v="20"/>
    <n v="15008.4"/>
    <n v="60033.599999999999"/>
    <x v="0"/>
    <x v="1"/>
    <n v="12"/>
    <n v="7204.0319999999992"/>
  </r>
  <r>
    <s v="ORD1497"/>
    <x v="212"/>
    <s v="Kiran Patel"/>
    <s v="CUST418"/>
    <x v="0"/>
    <x v="6"/>
    <x v="0"/>
    <x v="2"/>
    <x v="1"/>
    <s v="Polo Shirt"/>
    <s v="PROD6086"/>
    <n v="4"/>
    <n v="29025"/>
    <n v="116100"/>
    <n v="5"/>
    <n v="5805"/>
    <n v="110295"/>
    <x v="1"/>
    <x v="1"/>
    <n v="10"/>
    <n v="11029.5"/>
  </r>
  <r>
    <s v="ORD1498"/>
    <x v="173"/>
    <s v="Riya Das"/>
    <s v="CUST583"/>
    <x v="2"/>
    <x v="7"/>
    <x v="2"/>
    <x v="1"/>
    <x v="5"/>
    <s v="Polo Shirt"/>
    <s v="PROD3887"/>
    <n v="1"/>
    <n v="42491"/>
    <n v="42491"/>
    <n v="20"/>
    <n v="8498.2000000000007"/>
    <n v="33992.800000000003"/>
    <x v="0"/>
    <x v="1"/>
    <n v="6"/>
    <n v="2039.568"/>
  </r>
  <r>
    <s v="ORD1499"/>
    <x v="125"/>
    <s v="Vikas Singh"/>
    <s v="CUST835"/>
    <x v="0"/>
    <x v="0"/>
    <x v="0"/>
    <x v="2"/>
    <x v="3"/>
    <s v="Nike Shoes"/>
    <s v="PROD7871"/>
    <n v="6"/>
    <n v="32026"/>
    <n v="192156"/>
    <n v="15"/>
    <n v="28823.4"/>
    <n v="163332.6"/>
    <x v="0"/>
    <x v="2"/>
    <n v="26"/>
    <n v="42466.476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C332D5-9D82-4EAF-B178-895E34BB0336}" name="Delevery 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C3:AE7" firstHeaderRow="0"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axis="axisRow"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F736D3-0B2D-4C85-8077-58A1BFECEF21}" name="Channe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M3:N7" firstHeaderRow="1"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axis="axisRow"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Net Sales" fld="16" baseField="0" baseItem="0"/>
  </dataField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53E8A-209C-4205-B323-13317EB96F2F}" name="Region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3:G8" firstHeaderRow="0"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axis="axisRow"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Net Sales" fld="16" baseField="0" baseItem="0"/>
    <dataField name="Sum of Profit Amount" fld="20" showDataAs="percentOfTotal" baseField="4" baseItem="0" numFmtId="10"/>
  </dataField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880092-6A1E-4660-B4F4-9A9A68787D58}" name="Profit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8:C9" firstHeaderRow="1" firstDataRow="1" firstDataCol="0"/>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5">
        <item x="2"/>
        <item x="1"/>
        <item x="3"/>
        <item x="0"/>
        <item t="default"/>
      </items>
    </pivotField>
    <pivotField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Amount" fld="20" baseField="0" baseItem="0" numFmtId="2"/>
  </dataFields>
  <formats count="3">
    <format dxfId="95">
      <pivotArea type="all" dataOnly="0" outline="0" fieldPosition="0"/>
    </format>
    <format dxfId="93">
      <pivotArea outline="0" collapsedLevelsAreSubtotals="1" fieldPosition="0"/>
    </format>
    <format dxfId="92">
      <pivotArea dataOnly="0" labelOnly="1" outline="0" axis="axisValues" fieldPosition="0"/>
    </format>
  </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2A1A1-EA16-480B-92CE-E51EFBA313E9}" name="Product Category "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S7" firstHeaderRow="0"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axis="axisRow"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3A7A9-810D-40DF-84B4-755FBE16FAA7}" name="Product 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U3:W10" firstHeaderRow="0"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axis="axisRow" showAll="0">
      <items count="7">
        <item x="1"/>
        <item x="4"/>
        <item x="3"/>
        <item x="0"/>
        <item x="5"/>
        <item x="2"/>
        <item t="default"/>
      </items>
    </pivotField>
    <pivotField showAll="0"/>
    <pivotField showAll="0"/>
    <pivotField dataField="1"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1"/>
          </reference>
          <reference field="8" count="1" selected="0">
            <x v="2"/>
          </reference>
        </references>
      </pivotArea>
    </chartFormat>
    <chartFormat chart="0" format="9">
      <pivotArea type="data" outline="0" fieldPosition="0">
        <references count="2">
          <reference field="4294967294" count="1" selected="0">
            <x v="1"/>
          </reference>
          <reference field="8" count="1" selected="0">
            <x v="1"/>
          </reference>
        </references>
      </pivotArea>
    </chartFormat>
    <chartFormat chart="0" format="10">
      <pivotArea type="data" outline="0" fieldPosition="0">
        <references count="2">
          <reference field="4294967294" count="1" selected="0">
            <x v="1"/>
          </reference>
          <reference field="8" count="1" selected="0">
            <x v="0"/>
          </reference>
        </references>
      </pivotArea>
    </chartFormat>
    <chartFormat chart="0" format="11">
      <pivotArea type="data" outline="0" fieldPosition="0">
        <references count="2">
          <reference field="4294967294" count="1" selected="0">
            <x v="1"/>
          </reference>
          <reference field="8" count="1" selected="0">
            <x v="3"/>
          </reference>
        </references>
      </pivotArea>
    </chartFormat>
    <chartFormat chart="0" format="12">
      <pivotArea type="data" outline="0" fieldPosition="0">
        <references count="2">
          <reference field="4294967294" count="1" selected="0">
            <x v="1"/>
          </reference>
          <reference field="8" count="1" selected="0">
            <x v="4"/>
          </reference>
        </references>
      </pivotArea>
    </chartFormat>
    <chartFormat chart="0" format="13">
      <pivotArea type="data" outline="0" fieldPosition="0">
        <references count="2">
          <reference field="4294967294" count="1" selected="0">
            <x v="1"/>
          </reference>
          <reference field="8"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series="1">
      <pivotArea type="data" outline="0" fieldPosition="0">
        <references count="1">
          <reference field="4294967294" count="1" selected="0">
            <x v="1"/>
          </reference>
        </references>
      </pivotArea>
    </chartFormat>
    <chartFormat chart="8" format="24">
      <pivotArea type="data" outline="0" fieldPosition="0">
        <references count="2">
          <reference field="4294967294" count="1" selected="0">
            <x v="1"/>
          </reference>
          <reference field="8" count="1" selected="0">
            <x v="0"/>
          </reference>
        </references>
      </pivotArea>
    </chartFormat>
    <chartFormat chart="8" format="25">
      <pivotArea type="data" outline="0" fieldPosition="0">
        <references count="2">
          <reference field="4294967294" count="1" selected="0">
            <x v="1"/>
          </reference>
          <reference field="8" count="1" selected="0">
            <x v="1"/>
          </reference>
        </references>
      </pivotArea>
    </chartFormat>
    <chartFormat chart="8" format="26">
      <pivotArea type="data" outline="0" fieldPosition="0">
        <references count="2">
          <reference field="4294967294" count="1" selected="0">
            <x v="1"/>
          </reference>
          <reference field="8" count="1" selected="0">
            <x v="2"/>
          </reference>
        </references>
      </pivotArea>
    </chartFormat>
    <chartFormat chart="8" format="27">
      <pivotArea type="data" outline="0" fieldPosition="0">
        <references count="2">
          <reference field="4294967294" count="1" selected="0">
            <x v="1"/>
          </reference>
          <reference field="8" count="1" selected="0">
            <x v="3"/>
          </reference>
        </references>
      </pivotArea>
    </chartFormat>
    <chartFormat chart="8" format="28">
      <pivotArea type="data" outline="0" fieldPosition="0">
        <references count="2">
          <reference field="4294967294" count="1" selected="0">
            <x v="1"/>
          </reference>
          <reference field="8" count="1" selected="0">
            <x v="4"/>
          </reference>
        </references>
      </pivotArea>
    </chartFormat>
    <chartFormat chart="8" format="29">
      <pivotArea type="data" outline="0" fieldPosition="0">
        <references count="2">
          <reference field="4294967294" count="1" selected="0">
            <x v="1"/>
          </reference>
          <reference field="8" count="1" selected="0">
            <x v="5"/>
          </reference>
        </references>
      </pivotArea>
    </chartFormat>
  </chart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FA8C98-A31E-4951-AF43-10DAC1E5C144}" name="Payment 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Z3:AA8" firstHeaderRow="1"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axis="axisRow"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3"/>
          </reference>
        </references>
      </pivotArea>
    </chartFormat>
    <chartFormat chart="2" format="2">
      <pivotArea type="data" outline="0" fieldPosition="0">
        <references count="2">
          <reference field="4294967294" count="1" selected="0">
            <x v="0"/>
          </reference>
          <reference field="17" count="1" selected="0">
            <x v="1"/>
          </reference>
        </references>
      </pivotArea>
    </chartFormat>
    <chartFormat chart="2" format="3">
      <pivotArea type="data" outline="0" fieldPosition="0">
        <references count="2">
          <reference field="4294967294" count="1" selected="0">
            <x v="0"/>
          </reference>
          <reference field="17" count="1" selected="0">
            <x v="0"/>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7" count="1" selected="0">
            <x v="0"/>
          </reference>
        </references>
      </pivotArea>
    </chartFormat>
    <chartFormat chart="15" format="12">
      <pivotArea type="data" outline="0" fieldPosition="0">
        <references count="2">
          <reference field="4294967294" count="1" selected="0">
            <x v="0"/>
          </reference>
          <reference field="17" count="1" selected="0">
            <x v="1"/>
          </reference>
        </references>
      </pivotArea>
    </chartFormat>
    <chartFormat chart="15" format="13">
      <pivotArea type="data" outline="0" fieldPosition="0">
        <references count="2">
          <reference field="4294967294" count="1" selected="0">
            <x v="0"/>
          </reference>
          <reference field="17" count="1" selected="0">
            <x v="2"/>
          </reference>
        </references>
      </pivotArea>
    </chartFormat>
    <chartFormat chart="15"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947C1A-2627-4342-B8E0-E43A268C9017}" name="Net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Sales" fld="16" baseField="0" baseItem="0" numFmtId="165"/>
  </dataFields>
  <formats count="3">
    <format dxfId="53">
      <pivotArea type="all" dataOnly="0" outline="0" fieldPosition="0"/>
    </format>
    <format dxfId="54">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E1046D-497F-487E-B569-4AF99ED627A4}" name="Discount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dataField="1" showAll="0"/>
    <pivotField showAll="0"/>
    <pivotField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Amount" fld="15" baseField="0" baseItem="0" numFmtId="2"/>
  </dataFields>
  <formats count="3">
    <format dxfId="88">
      <pivotArea type="all" dataOnly="0" outline="0" fieldPosition="0"/>
    </format>
    <format dxfId="86">
      <pivotArea outline="0" collapsedLevelsAreSubtotals="1" fieldPosition="0"/>
    </format>
    <format dxfId="85">
      <pivotArea dataOnly="0" labelOnly="1" outline="0" axis="axisValues" fieldPosition="0"/>
    </format>
  </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0AE606-6055-484D-BFAB-15FDF9658CAD}" name="Cti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I3:K12" firstHeaderRow="0" firstDataRow="1" firstDataCol="1"/>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axis="axisRow"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1"/>
          </reference>
          <reference field="5" count="1" selected="0">
            <x v="0"/>
          </reference>
        </references>
      </pivotArea>
    </chartFormat>
    <chartFormat chart="18" format="7">
      <pivotArea type="data" outline="0" fieldPosition="0">
        <references count="2">
          <reference field="4294967294" count="1" selected="0">
            <x v="1"/>
          </reference>
          <reference field="5" count="1" selected="0">
            <x v="1"/>
          </reference>
        </references>
      </pivotArea>
    </chartFormat>
    <chartFormat chart="18" format="8">
      <pivotArea type="data" outline="0" fieldPosition="0">
        <references count="2">
          <reference field="4294967294" count="1" selected="0">
            <x v="1"/>
          </reference>
          <reference field="5" count="1" selected="0">
            <x v="2"/>
          </reference>
        </references>
      </pivotArea>
    </chartFormat>
    <chartFormat chart="18" format="9">
      <pivotArea type="data" outline="0" fieldPosition="0">
        <references count="2">
          <reference field="4294967294" count="1" selected="0">
            <x v="1"/>
          </reference>
          <reference field="5" count="1" selected="0">
            <x v="4"/>
          </reference>
        </references>
      </pivotArea>
    </chartFormat>
    <chartFormat chart="18" format="10">
      <pivotArea type="data" outline="0" fieldPosition="0">
        <references count="2">
          <reference field="4294967294" count="1" selected="0">
            <x v="1"/>
          </reference>
          <reference field="5" count="1" selected="0">
            <x v="6"/>
          </reference>
        </references>
      </pivotArea>
    </chartFormat>
  </chart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509772-4003-4F53-9431-FA2E90F0B237}" name="D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G3:AH10" firstHeaderRow="1" firstDataRow="1" firstDataCol="1"/>
  <pivotFields count="23">
    <pivotField showAll="0"/>
    <pivotField axis="axisRow"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7">
    <i>
      <x v="1"/>
    </i>
    <i>
      <x v="2"/>
    </i>
    <i>
      <x v="3"/>
    </i>
    <i>
      <x v="4"/>
    </i>
    <i>
      <x v="5"/>
    </i>
    <i>
      <x v="6"/>
    </i>
    <i t="grand">
      <x/>
    </i>
  </rowItems>
  <colItems count="1">
    <i/>
  </colItems>
  <dataFields count="1">
    <dataField name="Sum of Net Sales2" fld="16" showDataAs="percentOfTotal" baseField="0" baseItem="0" numFmtId="10"/>
  </dataFields>
  <chartFormats count="3">
    <chartFormat chart="0" format="1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D16939-3C51-4286-81A8-BD3C640184D1}" name="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showAll="0">
      <items count="261">
        <item x="124"/>
        <item x="144"/>
        <item x="121"/>
        <item x="217"/>
        <item x="118"/>
        <item x="162"/>
        <item x="201"/>
        <item x="78"/>
        <item x="90"/>
        <item x="43"/>
        <item x="20"/>
        <item x="185"/>
        <item x="183"/>
        <item x="55"/>
        <item x="7"/>
        <item x="88"/>
        <item x="17"/>
        <item x="85"/>
        <item x="157"/>
        <item x="244"/>
        <item x="92"/>
        <item x="70"/>
        <item x="57"/>
        <item x="95"/>
        <item x="52"/>
        <item x="188"/>
        <item x="252"/>
        <item x="51"/>
        <item x="235"/>
        <item x="173"/>
        <item x="110"/>
        <item x="251"/>
        <item x="199"/>
        <item x="122"/>
        <item x="229"/>
        <item x="232"/>
        <item x="102"/>
        <item x="106"/>
        <item x="163"/>
        <item x="19"/>
        <item x="197"/>
        <item x="65"/>
        <item x="160"/>
        <item x="59"/>
        <item x="242"/>
        <item x="111"/>
        <item x="147"/>
        <item x="234"/>
        <item x="258"/>
        <item x="103"/>
        <item x="239"/>
        <item x="145"/>
        <item x="11"/>
        <item x="112"/>
        <item x="108"/>
        <item x="69"/>
        <item x="182"/>
        <item x="61"/>
        <item x="50"/>
        <item x="28"/>
        <item x="32"/>
        <item x="171"/>
        <item x="204"/>
        <item x="76"/>
        <item x="94"/>
        <item x="202"/>
        <item x="156"/>
        <item x="176"/>
        <item x="146"/>
        <item x="132"/>
        <item x="178"/>
        <item x="114"/>
        <item x="0"/>
        <item x="154"/>
        <item x="60"/>
        <item x="149"/>
        <item x="172"/>
        <item x="138"/>
        <item x="216"/>
        <item x="152"/>
        <item x="131"/>
        <item x="256"/>
        <item x="212"/>
        <item x="168"/>
        <item x="209"/>
        <item x="215"/>
        <item x="227"/>
        <item x="161"/>
        <item x="93"/>
        <item x="190"/>
        <item x="243"/>
        <item x="158"/>
        <item x="141"/>
        <item x="89"/>
        <item x="228"/>
        <item x="240"/>
        <item x="248"/>
        <item x="253"/>
        <item x="15"/>
        <item x="109"/>
        <item x="206"/>
        <item x="226"/>
        <item x="3"/>
        <item x="218"/>
        <item x="129"/>
        <item x="87"/>
        <item x="25"/>
        <item x="179"/>
        <item x="148"/>
        <item x="194"/>
        <item x="26"/>
        <item x="83"/>
        <item x="73"/>
        <item x="164"/>
        <item x="213"/>
        <item x="116"/>
        <item x="47"/>
        <item x="153"/>
        <item x="37"/>
        <item x="198"/>
        <item x="38"/>
        <item x="236"/>
        <item x="66"/>
        <item x="22"/>
        <item x="113"/>
        <item x="130"/>
        <item x="151"/>
        <item x="12"/>
        <item x="104"/>
        <item x="27"/>
        <item x="136"/>
        <item x="39"/>
        <item x="117"/>
        <item x="41"/>
        <item x="9"/>
        <item x="245"/>
        <item x="100"/>
        <item x="241"/>
        <item x="207"/>
        <item x="71"/>
        <item x="177"/>
        <item x="142"/>
        <item x="40"/>
        <item x="34"/>
        <item x="46"/>
        <item x="115"/>
        <item x="31"/>
        <item x="119"/>
        <item x="205"/>
        <item x="75"/>
        <item x="221"/>
        <item x="155"/>
        <item x="97"/>
        <item x="10"/>
        <item x="44"/>
        <item x="255"/>
        <item x="5"/>
        <item x="238"/>
        <item x="193"/>
        <item x="246"/>
        <item x="24"/>
        <item x="14"/>
        <item x="254"/>
        <item x="224"/>
        <item x="219"/>
        <item x="68"/>
        <item x="16"/>
        <item x="237"/>
        <item x="170"/>
        <item x="2"/>
        <item x="1"/>
        <item x="80"/>
        <item x="222"/>
        <item x="189"/>
        <item x="159"/>
        <item x="105"/>
        <item x="211"/>
        <item x="98"/>
        <item x="220"/>
        <item x="249"/>
        <item x="30"/>
        <item x="139"/>
        <item x="250"/>
        <item x="29"/>
        <item x="257"/>
        <item x="137"/>
        <item x="259"/>
        <item x="42"/>
        <item x="81"/>
        <item x="84"/>
        <item x="140"/>
        <item x="169"/>
        <item x="21"/>
        <item x="143"/>
        <item x="23"/>
        <item x="4"/>
        <item x="135"/>
        <item x="174"/>
        <item x="101"/>
        <item x="82"/>
        <item x="74"/>
        <item x="96"/>
        <item x="230"/>
        <item x="56"/>
        <item x="53"/>
        <item x="72"/>
        <item x="62"/>
        <item x="63"/>
        <item x="214"/>
        <item x="33"/>
        <item x="184"/>
        <item x="247"/>
        <item x="91"/>
        <item x="223"/>
        <item x="233"/>
        <item x="49"/>
        <item x="191"/>
        <item x="187"/>
        <item x="200"/>
        <item x="165"/>
        <item x="210"/>
        <item x="180"/>
        <item x="150"/>
        <item x="127"/>
        <item x="77"/>
        <item x="166"/>
        <item x="120"/>
        <item x="45"/>
        <item x="54"/>
        <item x="35"/>
        <item x="123"/>
        <item x="186"/>
        <item x="48"/>
        <item x="167"/>
        <item x="58"/>
        <item x="6"/>
        <item x="134"/>
        <item x="203"/>
        <item x="86"/>
        <item x="128"/>
        <item x="126"/>
        <item x="208"/>
        <item x="18"/>
        <item x="175"/>
        <item x="99"/>
        <item x="64"/>
        <item x="125"/>
        <item x="225"/>
        <item x="79"/>
        <item x="231"/>
        <item x="133"/>
        <item x="195"/>
        <item x="181"/>
        <item x="8"/>
        <item x="107"/>
        <item x="36"/>
        <item x="67"/>
        <item x="192"/>
        <item x="13"/>
        <item x="196"/>
        <item t="default"/>
      </items>
    </pivotField>
    <pivotField showAll="0"/>
    <pivotField showAll="0"/>
    <pivotField showAll="0"/>
    <pivotField showAll="0">
      <items count="9">
        <item x="3"/>
        <item x="5"/>
        <item x="2"/>
        <item x="6"/>
        <item x="0"/>
        <item x="4"/>
        <item x="7"/>
        <item x="1"/>
        <item t="default"/>
      </items>
    </pivotField>
    <pivotField showAll="0">
      <items count="4">
        <item x="1"/>
        <item x="0"/>
        <item x="2"/>
        <item t="default"/>
      </items>
    </pivotField>
    <pivotField showAll="0">
      <items count="4">
        <item x="0"/>
        <item x="1"/>
        <item x="2"/>
        <item t="default"/>
      </items>
    </pivotField>
    <pivotField showAll="0">
      <items count="7">
        <item x="1"/>
        <item x="4"/>
        <item x="3"/>
        <item x="0"/>
        <item x="5"/>
        <item x="2"/>
        <item t="default"/>
      </items>
    </pivotField>
    <pivotField showAll="0"/>
    <pivotField showAll="0"/>
    <pivotField showAll="0"/>
    <pivotField showAll="0"/>
    <pivotField dataField="1" showAll="0"/>
    <pivotField showAll="0"/>
    <pivotField showAll="0"/>
    <pivotField showAll="0"/>
    <pivotField showAll="0">
      <items count="5">
        <item x="2"/>
        <item x="1"/>
        <item x="3"/>
        <item x="0"/>
        <item t="default"/>
      </items>
    </pivotField>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3" baseField="0" baseItem="0" numFmtId="2"/>
  </dataFields>
  <formats count="3">
    <format dxfId="83">
      <pivotArea type="all" dataOnly="0" outline="0" fieldPosition="0"/>
    </format>
    <format dxfId="81">
      <pivotArea outline="0" collapsedLevelsAreSubtotals="1" fieldPosition="0"/>
    </format>
    <format dxfId="80">
      <pivotArea dataOnly="0" labelOnly="1" outline="0" axis="axisValues" fieldPosition="0"/>
    </format>
  </formats>
  <pivotTableStyleInfo name="PivotStyleLight16" showRowHeaders="1" showColHeaders="1" showRowStripes="0" showColStripes="0" showLastColumn="1"/>
  <filters count="1">
    <filter fld="1" type="dateBetween" evalOrder="-1" id="546" name="Date">
      <autoFilter ref="A1">
        <filterColumn colId="0">
          <customFilters and="1">
            <customFilter operator="greaterThanOrEqual" val="4565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C041AC3-1CC0-4C42-A10D-822B45A34156}" sourceName="Sales Channel">
  <pivotTables>
    <pivotTable tabId="2" name="Channel Sales"/>
    <pivotTable tabId="2" name="Ctiy Sales"/>
    <pivotTable tabId="2" name="Delevery Status"/>
    <pivotTable tabId="2" name="Discount Amount"/>
    <pivotTable tabId="2" name="Net Sales"/>
    <pivotTable tabId="2" name="Payment Mode"/>
    <pivotTable tabId="2" name="Product Category "/>
    <pivotTable tabId="2" name="Product Sub-category"/>
    <pivotTable tabId="2" name="Profit amount"/>
    <pivotTable tabId="2" name="Region sales"/>
    <pivotTable tabId="2" name="Total Sales"/>
  </pivotTables>
  <data>
    <tabular pivotCacheId="10627444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C69C96C-D921-40DE-B5F9-045B9D38520A}" sourceName="Product Category">
  <pivotTables>
    <pivotTable tabId="2" name="Product Category "/>
    <pivotTable tabId="2" name="Channel Sales"/>
    <pivotTable tabId="2" name="Ctiy Sales"/>
    <pivotTable tabId="2" name="Delevery Status"/>
    <pivotTable tabId="2" name="Discount Amount"/>
    <pivotTable tabId="2" name="Net Sales"/>
    <pivotTable tabId="2" name="Payment Mode"/>
    <pivotTable tabId="2" name="Product Sub-category"/>
    <pivotTable tabId="2" name="Profit amount"/>
    <pivotTable tabId="2" name="Region sales"/>
    <pivotTable tabId="2" name="Total Sales"/>
  </pivotTables>
  <data>
    <tabular pivotCacheId="1062744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4D4FEDA2-5C1C-4DE7-A559-B54F37DB321D}" sourceName="Product Sub-Category">
  <pivotTables>
    <pivotTable tabId="2" name="Product Sub-category"/>
    <pivotTable tabId="2" name="Channel Sales"/>
    <pivotTable tabId="2" name="Ctiy Sales"/>
    <pivotTable tabId="2" name="Delevery Status"/>
    <pivotTable tabId="2" name="Discount Amount"/>
    <pivotTable tabId="2" name="Net Sales"/>
    <pivotTable tabId="2" name="Payment Mode"/>
    <pivotTable tabId="2" name="Product Category "/>
    <pivotTable tabId="2" name="Profit amount"/>
    <pivotTable tabId="2" name="Region sales"/>
    <pivotTable tabId="2" name="Total Sales"/>
  </pivotTables>
  <data>
    <tabular pivotCacheId="106274440">
      <items count="6">
        <i x="1" s="1"/>
        <i x="4" s="1"/>
        <i x="3" s="1"/>
        <i x="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377855BB-9820-4A59-B810-BFA382DBA8E3}" sourceName="Delivery Status">
  <pivotTables>
    <pivotTable tabId="2" name="Delevery Status"/>
    <pivotTable tabId="2" name="Channel Sales"/>
    <pivotTable tabId="2" name="Ctiy Sales"/>
    <pivotTable tabId="2" name="Discount Amount"/>
    <pivotTable tabId="2" name="Net Sales"/>
    <pivotTable tabId="2" name="Payment Mode"/>
    <pivotTable tabId="2" name="Product Category "/>
    <pivotTable tabId="2" name="Product Sub-category"/>
    <pivotTable tabId="2" name="Profit amount"/>
    <pivotTable tabId="2" name="Region sales"/>
    <pivotTable tabId="2" name="Total Sales"/>
  </pivotTables>
  <data>
    <tabular pivotCacheId="106274440">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42FFF3C-F7DA-46D1-9ED7-77538B5EB1DA}" sourceName="Payment Mode">
  <pivotTables>
    <pivotTable tabId="2" name="Payment Mode"/>
    <pivotTable tabId="2" name="Channel Sales"/>
    <pivotTable tabId="2" name="Ctiy Sales"/>
    <pivotTable tabId="2" name="Delevery Status"/>
    <pivotTable tabId="2" name="Discount Amount"/>
    <pivotTable tabId="2" name="Net Sales"/>
    <pivotTable tabId="2" name="Product Category "/>
    <pivotTable tabId="2" name="Product Sub-category"/>
    <pivotTable tabId="2" name="Profit amount"/>
    <pivotTable tabId="2" name="Region sales"/>
    <pivotTable tabId="2" name="Total Sales"/>
  </pivotTables>
  <data>
    <tabular pivotCacheId="106274440">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AA3273-9F8D-4B28-9651-9A9530D75BBE}" sourceName="Region">
  <pivotTables>
    <pivotTable tabId="2" name="Region sales"/>
    <pivotTable tabId="2" name="Channel Sales"/>
    <pivotTable tabId="2" name="Ctiy Sales"/>
    <pivotTable tabId="2" name="Delevery Status"/>
    <pivotTable tabId="2" name="Discount Amount"/>
    <pivotTable tabId="2" name="Net Sales"/>
    <pivotTable tabId="2" name="Payment Mode"/>
    <pivotTable tabId="2" name="Product Category "/>
    <pivotTable tabId="2" name="Product Sub-category"/>
    <pivotTable tabId="2" name="Profit amount"/>
  </pivotTables>
  <data>
    <tabular pivotCacheId="106274440">
      <items count="4">
        <i x="1" s="1"/>
        <i x="2"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9F3064-D3B8-4E8E-BE01-36473963EDA7}" sourceName="City">
  <pivotTables>
    <pivotTable tabId="2" name="Ctiy Sales"/>
    <pivotTable tabId="2" name="Channel Sales"/>
    <pivotTable tabId="2" name="Delevery Status"/>
    <pivotTable tabId="2" name="Discount Amount"/>
    <pivotTable tabId="2" name="Net Sales"/>
    <pivotTable tabId="2" name="Payment Mode"/>
    <pivotTable tabId="2" name="Product Category "/>
    <pivotTable tabId="2" name="Product Sub-category"/>
    <pivotTable tabId="2" name="Profit amount"/>
    <pivotTable tabId="2" name="Region sales"/>
    <pivotTable tabId="2" name="Total Sales"/>
  </pivotTables>
  <data>
    <tabular pivotCacheId="106274440">
      <items count="8">
        <i x="3" s="1"/>
        <i x="5" s="1"/>
        <i x="2" s="1"/>
        <i x="6" s="1"/>
        <i x="0" s="1"/>
        <i x="4"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CD04EEEA-B6A8-4146-9FE7-927CC0296A01}" cache="Slicer_Sales_Channel" caption="Sales Channel" rowHeight="241300"/>
  <slicer name="Product Category" xr10:uid="{34FB5333-7E1A-448C-BBA3-BA2AFE8493EE}" cache="Slicer_Product_Category" caption="Product Category" rowHeight="241300"/>
  <slicer name="Product Sub-Category" xr10:uid="{4FDCE76A-92A9-489B-B027-43F3B7245827}" cache="Slicer_Product_Sub_Category" caption="Product Sub-Category" rowHeight="241300"/>
  <slicer name="Delivery Status" xr10:uid="{24B7BE97-6D64-4EBC-B8B6-B4F3D521FC66}" cache="Slicer_Delivery_Status" caption="Delivery Status" rowHeight="241300"/>
  <slicer name="Payment Mode" xr10:uid="{511CC226-C669-4DA7-BC2A-ED4B17B6E509}" cache="Slicer_Payment_Mode" caption="Payment Mode" rowHeight="241300"/>
  <slicer name="Region" xr10:uid="{24C402BA-392D-42A6-BDC0-C1B313C79C60}" cache="Slicer_Region" caption="Region" rowHeight="241300"/>
  <slicer name="City" xr10:uid="{B5602930-CB3B-449B-9434-86A9E7E6267D}" cache="Slicer_City" caption="City"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CF51AE68-168C-4A99-BF8D-C65EB5CFB9C1}" cache="Slicer_Sales_Channel" caption="Sales Channel" columnCount="3" style="SlicerStyleDark3" rowHeight="216000"/>
  <slicer name="Product Category 1" xr10:uid="{1B4A7E87-FA7F-45F5-BD0F-48A6B99763B0}" cache="Slicer_Product_Category" caption="Product Category" style="SlicerStyleDark3" rowHeight="180000"/>
  <slicer name="Product Sub-Category 1" xr10:uid="{996D1AB1-7567-41F3-B5C5-9607922A14DF}" cache="Slicer_Product_Sub_Category" caption="Product Sub-Category" columnCount="2" style="SlicerStyleDark3" rowHeight="180000"/>
  <slicer name="Delivery Status 1" xr10:uid="{3E09E0B0-F168-4DE6-970D-CD906A414DAB}" cache="Slicer_Delivery_Status" caption="Delivery Status" columnCount="3" style="SlicerStyleDark3" rowHeight="216000"/>
  <slicer name="Payment Mode 1" xr10:uid="{0CD4705B-D61D-4BD6-B42C-C116314C9257}" cache="Slicer_Payment_Mode" caption="Payment Mode" columnCount="4" style="SlicerStyleDark3" rowHeight="216000"/>
  <slicer name="Region 1" xr10:uid="{7BCDA70D-1BBF-4CD6-9B83-B6552371A6E6}" cache="Slicer_Region" caption="Region" style="SlicerStyleDark3" rowHeight="180000"/>
  <slicer name="City 1" xr10:uid="{13166CA5-5251-492F-ADC1-877D245E5FD3}" cache="Slicer_City" caption="City" columnCount="2" style="SlicerStyleDark3"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2F89B83-1A0E-4F66-9D09-E37AFBFB6404}" sourceName="Date">
  <pivotTables>
    <pivotTable tabId="2" name="Region sales"/>
    <pivotTable tabId="2" name="Channel Sales"/>
    <pivotTable tabId="2" name="Ctiy Sales"/>
    <pivotTable tabId="2" name="Date"/>
    <pivotTable tabId="2" name="Delevery Status"/>
    <pivotTable tabId="2" name="Discount Amount"/>
    <pivotTable tabId="2" name="Net Sales"/>
    <pivotTable tabId="2" name="Payment Mode"/>
    <pivotTable tabId="2" name="Product Category "/>
    <pivotTable tabId="2" name="Product Sub-category"/>
    <pivotTable tabId="2" name="Profit amount"/>
    <pivotTable tabId="2" name="Total Sales"/>
  </pivotTables>
  <state minimalRefreshVersion="6" lastRefreshVersion="6" pivotCacheId="106274440" filterType="dateBetween">
    <selection startDate="2025-01-01T00:00:00" endDate="2025-06-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1906BF2-8689-48CA-86B3-703FCDE5D112}" cache="NativeTimeline_Date" caption="Date" level="2" selectionLevel="1"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4F90AA7-6FFB-40C1-AF09-900207C2409C}" cache="NativeTimeline_Date" caption="Date" showHeader="0" showSelectionLabel="0" level="2" selectionLevel="1" scrollPosition="2025-01-01T00:00:00" style="TimeSlicerStyleDark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U501"/>
  <sheetViews>
    <sheetView workbookViewId="0">
      <selection activeCell="B4" sqref="B4"/>
    </sheetView>
  </sheetViews>
  <sheetFormatPr defaultRowHeight="15" x14ac:dyDescent="0.25"/>
  <cols>
    <col min="2" max="2" width="10.42578125" bestFit="1" customWidth="1"/>
    <col min="3" max="3" width="15.42578125" bestFit="1" customWidth="1"/>
    <col min="4" max="4" width="11.85546875" bestFit="1" customWidth="1"/>
    <col min="7" max="7" width="13.42578125" bestFit="1" customWidth="1"/>
    <col min="8" max="8" width="16.28515625" bestFit="1" customWidth="1"/>
    <col min="9" max="9" width="20.42578125" bestFit="1" customWidth="1"/>
    <col min="10" max="10" width="16.7109375" bestFit="1" customWidth="1"/>
    <col min="11" max="11" width="11.5703125" customWidth="1"/>
    <col min="12" max="12" width="13.140625" bestFit="1" customWidth="1"/>
    <col min="13" max="13" width="9.5703125" bestFit="1" customWidth="1"/>
    <col min="14" max="14" width="10.42578125" bestFit="1" customWidth="1"/>
    <col min="15" max="15" width="10.7109375" bestFit="1" customWidth="1"/>
    <col min="16" max="16" width="16.42578125" bestFit="1" customWidth="1"/>
    <col min="17" max="17" width="10" bestFit="1" customWidth="1"/>
    <col min="18" max="18" width="14.5703125" bestFit="1" customWidth="1"/>
    <col min="19" max="19" width="14.42578125" bestFit="1" customWidth="1"/>
    <col min="20" max="20" width="14.7109375" bestFit="1" customWidth="1"/>
    <col min="21" max="21" width="13.71093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s="8">
        <v>45755</v>
      </c>
      <c r="C2" t="s">
        <v>22</v>
      </c>
      <c r="D2" t="s">
        <v>23</v>
      </c>
      <c r="E2" t="s">
        <v>24</v>
      </c>
      <c r="F2" t="s">
        <v>25</v>
      </c>
      <c r="G2" t="s">
        <v>26</v>
      </c>
      <c r="H2" t="s">
        <v>27</v>
      </c>
      <c r="I2" t="s">
        <v>28</v>
      </c>
      <c r="J2" t="s">
        <v>29</v>
      </c>
      <c r="K2" t="s">
        <v>30</v>
      </c>
      <c r="L2">
        <v>4</v>
      </c>
      <c r="M2">
        <v>24620</v>
      </c>
      <c r="N2">
        <v>98480</v>
      </c>
      <c r="O2">
        <v>5</v>
      </c>
      <c r="P2">
        <v>4924</v>
      </c>
      <c r="Q2">
        <v>93556</v>
      </c>
      <c r="R2" t="s">
        <v>31</v>
      </c>
      <c r="S2" t="s">
        <v>32</v>
      </c>
      <c r="T2">
        <v>10</v>
      </c>
      <c r="U2">
        <v>9355.6</v>
      </c>
    </row>
    <row r="3" spans="1:21" x14ac:dyDescent="0.25">
      <c r="A3" t="s">
        <v>33</v>
      </c>
      <c r="B3" s="8">
        <v>45896</v>
      </c>
      <c r="C3" t="s">
        <v>34</v>
      </c>
      <c r="D3" t="s">
        <v>35</v>
      </c>
      <c r="E3" t="s">
        <v>36</v>
      </c>
      <c r="F3" t="s">
        <v>37</v>
      </c>
      <c r="G3" t="s">
        <v>38</v>
      </c>
      <c r="H3" t="s">
        <v>39</v>
      </c>
      <c r="I3" t="s">
        <v>40</v>
      </c>
      <c r="J3" t="s">
        <v>41</v>
      </c>
      <c r="K3" t="s">
        <v>42</v>
      </c>
      <c r="L3">
        <v>5</v>
      </c>
      <c r="M3">
        <v>39821</v>
      </c>
      <c r="N3">
        <v>199105</v>
      </c>
      <c r="O3">
        <v>0</v>
      </c>
      <c r="P3">
        <v>0</v>
      </c>
      <c r="Q3">
        <v>199105</v>
      </c>
      <c r="R3" t="s">
        <v>43</v>
      </c>
      <c r="S3" t="s">
        <v>44</v>
      </c>
      <c r="T3">
        <v>26</v>
      </c>
      <c r="U3">
        <v>51767.3</v>
      </c>
    </row>
    <row r="4" spans="1:21" x14ac:dyDescent="0.25">
      <c r="A4" t="s">
        <v>45</v>
      </c>
      <c r="B4" s="8">
        <v>45895</v>
      </c>
      <c r="C4" t="s">
        <v>46</v>
      </c>
      <c r="D4" t="s">
        <v>47</v>
      </c>
      <c r="E4" t="s">
        <v>48</v>
      </c>
      <c r="F4" t="s">
        <v>49</v>
      </c>
      <c r="G4" t="s">
        <v>26</v>
      </c>
      <c r="H4" t="s">
        <v>39</v>
      </c>
      <c r="I4" t="s">
        <v>50</v>
      </c>
      <c r="J4" t="s">
        <v>51</v>
      </c>
      <c r="K4" t="s">
        <v>52</v>
      </c>
      <c r="L4">
        <v>3</v>
      </c>
      <c r="M4">
        <v>48109</v>
      </c>
      <c r="N4">
        <v>144327</v>
      </c>
      <c r="O4">
        <v>20</v>
      </c>
      <c r="P4">
        <v>28865.4</v>
      </c>
      <c r="Q4">
        <v>115461.6</v>
      </c>
      <c r="R4" t="s">
        <v>53</v>
      </c>
      <c r="S4" t="s">
        <v>44</v>
      </c>
      <c r="T4">
        <v>12</v>
      </c>
      <c r="U4">
        <v>13855.392</v>
      </c>
    </row>
    <row r="5" spans="1:21" x14ac:dyDescent="0.25">
      <c r="A5" t="s">
        <v>54</v>
      </c>
      <c r="B5" s="8">
        <v>45797</v>
      </c>
      <c r="C5" t="s">
        <v>46</v>
      </c>
      <c r="D5" t="s">
        <v>55</v>
      </c>
      <c r="E5" t="s">
        <v>48</v>
      </c>
      <c r="F5" t="s">
        <v>56</v>
      </c>
      <c r="G5" t="s">
        <v>38</v>
      </c>
      <c r="H5" t="s">
        <v>57</v>
      </c>
      <c r="I5" t="s">
        <v>50</v>
      </c>
      <c r="J5" t="s">
        <v>29</v>
      </c>
      <c r="K5" t="s">
        <v>58</v>
      </c>
      <c r="L5">
        <v>7</v>
      </c>
      <c r="M5">
        <v>22692</v>
      </c>
      <c r="N5">
        <v>158844</v>
      </c>
      <c r="O5">
        <v>0</v>
      </c>
      <c r="P5">
        <v>0</v>
      </c>
      <c r="Q5">
        <v>158844</v>
      </c>
      <c r="R5" t="s">
        <v>31</v>
      </c>
      <c r="S5" t="s">
        <v>32</v>
      </c>
      <c r="T5">
        <v>8</v>
      </c>
      <c r="U5">
        <v>12707.52</v>
      </c>
    </row>
    <row r="6" spans="1:21" x14ac:dyDescent="0.25">
      <c r="A6" t="s">
        <v>59</v>
      </c>
      <c r="B6" s="8">
        <v>45929</v>
      </c>
      <c r="C6" t="s">
        <v>34</v>
      </c>
      <c r="D6" t="s">
        <v>60</v>
      </c>
      <c r="E6" t="s">
        <v>36</v>
      </c>
      <c r="F6" t="s">
        <v>37</v>
      </c>
      <c r="G6" t="s">
        <v>26</v>
      </c>
      <c r="H6" t="s">
        <v>39</v>
      </c>
      <c r="I6" t="s">
        <v>28</v>
      </c>
      <c r="J6" t="s">
        <v>29</v>
      </c>
      <c r="K6" t="s">
        <v>61</v>
      </c>
      <c r="L6">
        <v>5</v>
      </c>
      <c r="M6">
        <v>19525</v>
      </c>
      <c r="N6">
        <v>97625</v>
      </c>
      <c r="O6">
        <v>0</v>
      </c>
      <c r="P6">
        <v>0</v>
      </c>
      <c r="Q6">
        <v>97625</v>
      </c>
      <c r="R6" t="s">
        <v>43</v>
      </c>
      <c r="S6" t="s">
        <v>44</v>
      </c>
      <c r="T6">
        <v>28</v>
      </c>
      <c r="U6">
        <v>27335</v>
      </c>
    </row>
    <row r="7" spans="1:21" x14ac:dyDescent="0.25">
      <c r="A7" t="s">
        <v>62</v>
      </c>
      <c r="B7" s="8">
        <v>45876</v>
      </c>
      <c r="C7" t="s">
        <v>63</v>
      </c>
      <c r="D7" t="s">
        <v>64</v>
      </c>
      <c r="E7" t="s">
        <v>48</v>
      </c>
      <c r="F7" t="s">
        <v>65</v>
      </c>
      <c r="G7" t="s">
        <v>66</v>
      </c>
      <c r="H7" t="s">
        <v>57</v>
      </c>
      <c r="I7" t="s">
        <v>28</v>
      </c>
      <c r="J7" t="s">
        <v>67</v>
      </c>
      <c r="K7" t="s">
        <v>68</v>
      </c>
      <c r="L7">
        <v>3</v>
      </c>
      <c r="M7">
        <v>32260</v>
      </c>
      <c r="N7">
        <v>96780</v>
      </c>
      <c r="O7">
        <v>0</v>
      </c>
      <c r="P7">
        <v>0</v>
      </c>
      <c r="Q7">
        <v>96780</v>
      </c>
      <c r="R7" t="s">
        <v>53</v>
      </c>
      <c r="S7" t="s">
        <v>69</v>
      </c>
      <c r="T7">
        <v>21</v>
      </c>
      <c r="U7">
        <v>20323.8</v>
      </c>
    </row>
    <row r="8" spans="1:21" x14ac:dyDescent="0.25">
      <c r="A8" t="s">
        <v>70</v>
      </c>
      <c r="B8" s="8">
        <v>45989</v>
      </c>
      <c r="C8" t="s">
        <v>71</v>
      </c>
      <c r="D8" t="s">
        <v>72</v>
      </c>
      <c r="E8" t="s">
        <v>73</v>
      </c>
      <c r="F8" t="s">
        <v>74</v>
      </c>
      <c r="G8" t="s">
        <v>66</v>
      </c>
      <c r="H8" t="s">
        <v>39</v>
      </c>
      <c r="I8" t="s">
        <v>75</v>
      </c>
      <c r="J8" t="s">
        <v>41</v>
      </c>
      <c r="K8" t="s">
        <v>76</v>
      </c>
      <c r="L8">
        <v>8</v>
      </c>
      <c r="M8">
        <v>2370</v>
      </c>
      <c r="N8">
        <v>18960</v>
      </c>
      <c r="O8">
        <v>5</v>
      </c>
      <c r="P8">
        <v>948</v>
      </c>
      <c r="Q8">
        <v>18012</v>
      </c>
      <c r="R8" t="s">
        <v>53</v>
      </c>
      <c r="S8" t="s">
        <v>32</v>
      </c>
      <c r="T8">
        <v>6</v>
      </c>
      <c r="U8">
        <v>1080.72</v>
      </c>
    </row>
    <row r="9" spans="1:21" x14ac:dyDescent="0.25">
      <c r="A9" t="s">
        <v>77</v>
      </c>
      <c r="B9" s="8">
        <v>45679</v>
      </c>
      <c r="C9" t="s">
        <v>63</v>
      </c>
      <c r="D9" t="s">
        <v>1433</v>
      </c>
      <c r="E9" t="s">
        <v>36</v>
      </c>
      <c r="F9" t="s">
        <v>56</v>
      </c>
      <c r="G9" t="s">
        <v>26</v>
      </c>
      <c r="H9" t="s">
        <v>57</v>
      </c>
      <c r="I9" t="s">
        <v>75</v>
      </c>
      <c r="J9" t="s">
        <v>78</v>
      </c>
      <c r="K9" t="s">
        <v>79</v>
      </c>
      <c r="L9">
        <v>3</v>
      </c>
      <c r="M9">
        <v>25595</v>
      </c>
      <c r="N9">
        <v>76785</v>
      </c>
      <c r="O9">
        <v>15</v>
      </c>
      <c r="P9">
        <v>11517.75</v>
      </c>
      <c r="Q9">
        <v>65267.25</v>
      </c>
      <c r="R9" t="s">
        <v>53</v>
      </c>
      <c r="S9" t="s">
        <v>44</v>
      </c>
      <c r="T9">
        <v>13</v>
      </c>
      <c r="U9">
        <v>8484.7425000000003</v>
      </c>
    </row>
    <row r="10" spans="1:21" x14ac:dyDescent="0.25">
      <c r="A10" t="s">
        <v>80</v>
      </c>
      <c r="B10" s="8">
        <v>46012</v>
      </c>
      <c r="C10" t="s">
        <v>81</v>
      </c>
      <c r="D10" t="s">
        <v>82</v>
      </c>
      <c r="E10" t="s">
        <v>73</v>
      </c>
      <c r="F10" t="s">
        <v>83</v>
      </c>
      <c r="G10" t="s">
        <v>38</v>
      </c>
      <c r="H10" t="s">
        <v>57</v>
      </c>
      <c r="I10" t="s">
        <v>40</v>
      </c>
      <c r="J10" t="s">
        <v>51</v>
      </c>
      <c r="K10" t="s">
        <v>84</v>
      </c>
      <c r="L10">
        <v>6</v>
      </c>
      <c r="M10">
        <v>44989</v>
      </c>
      <c r="N10">
        <v>269934</v>
      </c>
      <c r="O10">
        <v>20</v>
      </c>
      <c r="P10">
        <v>53986.8</v>
      </c>
      <c r="Q10">
        <v>215947.2</v>
      </c>
      <c r="R10" t="s">
        <v>43</v>
      </c>
      <c r="S10" t="s">
        <v>69</v>
      </c>
      <c r="T10">
        <v>27</v>
      </c>
      <c r="U10">
        <v>58305.744000000013</v>
      </c>
    </row>
    <row r="11" spans="1:21" x14ac:dyDescent="0.25">
      <c r="A11" t="s">
        <v>85</v>
      </c>
      <c r="B11" s="8">
        <v>45842</v>
      </c>
      <c r="C11" t="s">
        <v>86</v>
      </c>
      <c r="D11" t="s">
        <v>87</v>
      </c>
      <c r="E11" t="s">
        <v>36</v>
      </c>
      <c r="F11" t="s">
        <v>74</v>
      </c>
      <c r="G11" t="s">
        <v>38</v>
      </c>
      <c r="H11" t="s">
        <v>27</v>
      </c>
      <c r="I11" t="s">
        <v>88</v>
      </c>
      <c r="J11" t="s">
        <v>41</v>
      </c>
      <c r="K11" t="s">
        <v>89</v>
      </c>
      <c r="L11">
        <v>9</v>
      </c>
      <c r="M11">
        <v>49386</v>
      </c>
      <c r="N11">
        <v>444474</v>
      </c>
      <c r="O11">
        <v>0</v>
      </c>
      <c r="P11">
        <v>0</v>
      </c>
      <c r="Q11">
        <v>444474</v>
      </c>
      <c r="R11" t="s">
        <v>90</v>
      </c>
      <c r="S11" t="s">
        <v>69</v>
      </c>
      <c r="T11">
        <v>10</v>
      </c>
      <c r="U11">
        <v>44447.4</v>
      </c>
    </row>
    <row r="12" spans="1:21" x14ac:dyDescent="0.25">
      <c r="A12" t="s">
        <v>91</v>
      </c>
      <c r="B12" s="8">
        <v>45872</v>
      </c>
      <c r="C12" t="s">
        <v>92</v>
      </c>
      <c r="D12" t="s">
        <v>93</v>
      </c>
      <c r="E12" t="s">
        <v>24</v>
      </c>
      <c r="F12" t="s">
        <v>94</v>
      </c>
      <c r="G12" t="s">
        <v>66</v>
      </c>
      <c r="H12" t="s">
        <v>39</v>
      </c>
      <c r="I12" t="s">
        <v>40</v>
      </c>
      <c r="J12" t="s">
        <v>51</v>
      </c>
      <c r="K12" t="s">
        <v>95</v>
      </c>
      <c r="L12">
        <v>6</v>
      </c>
      <c r="M12">
        <v>12025</v>
      </c>
      <c r="N12">
        <v>72150</v>
      </c>
      <c r="O12">
        <v>5</v>
      </c>
      <c r="P12">
        <v>3607.5</v>
      </c>
      <c r="Q12">
        <v>68542.5</v>
      </c>
      <c r="R12" t="s">
        <v>31</v>
      </c>
      <c r="S12" t="s">
        <v>69</v>
      </c>
      <c r="T12">
        <v>8</v>
      </c>
      <c r="U12">
        <v>5483.4</v>
      </c>
    </row>
    <row r="13" spans="1:21" x14ac:dyDescent="0.25">
      <c r="A13" t="s">
        <v>96</v>
      </c>
      <c r="B13" s="8">
        <v>45728</v>
      </c>
      <c r="C13" t="s">
        <v>71</v>
      </c>
      <c r="D13" t="s">
        <v>97</v>
      </c>
      <c r="E13" t="s">
        <v>73</v>
      </c>
      <c r="F13" t="s">
        <v>94</v>
      </c>
      <c r="G13" t="s">
        <v>26</v>
      </c>
      <c r="H13" t="s">
        <v>27</v>
      </c>
      <c r="I13" t="s">
        <v>50</v>
      </c>
      <c r="J13" t="s">
        <v>78</v>
      </c>
      <c r="K13" t="s">
        <v>98</v>
      </c>
      <c r="L13">
        <v>5</v>
      </c>
      <c r="M13">
        <v>12202</v>
      </c>
      <c r="N13">
        <v>61010</v>
      </c>
      <c r="O13">
        <v>10</v>
      </c>
      <c r="P13">
        <v>6101</v>
      </c>
      <c r="Q13">
        <v>54909</v>
      </c>
      <c r="R13" t="s">
        <v>43</v>
      </c>
      <c r="S13" t="s">
        <v>44</v>
      </c>
      <c r="T13">
        <v>26</v>
      </c>
      <c r="U13">
        <v>14276.34</v>
      </c>
    </row>
    <row r="14" spans="1:21" x14ac:dyDescent="0.25">
      <c r="A14" t="s">
        <v>99</v>
      </c>
      <c r="B14" s="8">
        <v>45830</v>
      </c>
      <c r="C14" t="s">
        <v>86</v>
      </c>
      <c r="D14" t="s">
        <v>100</v>
      </c>
      <c r="E14" t="s">
        <v>36</v>
      </c>
      <c r="F14" t="s">
        <v>25</v>
      </c>
      <c r="G14" t="s">
        <v>26</v>
      </c>
      <c r="H14" t="s">
        <v>27</v>
      </c>
      <c r="I14" t="s">
        <v>101</v>
      </c>
      <c r="J14" t="s">
        <v>41</v>
      </c>
      <c r="K14" t="s">
        <v>102</v>
      </c>
      <c r="L14">
        <v>9</v>
      </c>
      <c r="M14">
        <v>24381</v>
      </c>
      <c r="N14">
        <v>219429</v>
      </c>
      <c r="O14">
        <v>10</v>
      </c>
      <c r="P14">
        <v>21942.9</v>
      </c>
      <c r="Q14">
        <v>197486.1</v>
      </c>
      <c r="R14" t="s">
        <v>90</v>
      </c>
      <c r="S14" t="s">
        <v>32</v>
      </c>
      <c r="T14">
        <v>10</v>
      </c>
      <c r="U14">
        <v>19748.61</v>
      </c>
    </row>
    <row r="15" spans="1:21" x14ac:dyDescent="0.25">
      <c r="A15" t="s">
        <v>103</v>
      </c>
      <c r="B15" s="8">
        <v>46019</v>
      </c>
      <c r="C15" t="s">
        <v>63</v>
      </c>
      <c r="D15" t="s">
        <v>104</v>
      </c>
      <c r="E15" t="s">
        <v>24</v>
      </c>
      <c r="F15" t="s">
        <v>49</v>
      </c>
      <c r="G15" t="s">
        <v>66</v>
      </c>
      <c r="H15" t="s">
        <v>57</v>
      </c>
      <c r="I15" t="s">
        <v>101</v>
      </c>
      <c r="J15" t="s">
        <v>29</v>
      </c>
      <c r="K15" t="s">
        <v>105</v>
      </c>
      <c r="L15">
        <v>4</v>
      </c>
      <c r="M15">
        <v>15320</v>
      </c>
      <c r="N15">
        <v>61280</v>
      </c>
      <c r="O15">
        <v>15</v>
      </c>
      <c r="P15">
        <v>9192</v>
      </c>
      <c r="Q15">
        <v>52088</v>
      </c>
      <c r="R15" t="s">
        <v>31</v>
      </c>
      <c r="S15" t="s">
        <v>44</v>
      </c>
      <c r="T15">
        <v>15</v>
      </c>
      <c r="U15">
        <v>7813.2</v>
      </c>
    </row>
    <row r="16" spans="1:21" x14ac:dyDescent="0.25">
      <c r="A16" t="s">
        <v>106</v>
      </c>
      <c r="B16" s="8">
        <v>45883</v>
      </c>
      <c r="C16" t="s">
        <v>34</v>
      </c>
      <c r="D16" t="s">
        <v>107</v>
      </c>
      <c r="E16" t="s">
        <v>36</v>
      </c>
      <c r="F16" t="s">
        <v>74</v>
      </c>
      <c r="G16" t="s">
        <v>38</v>
      </c>
      <c r="H16" t="s">
        <v>27</v>
      </c>
      <c r="I16" t="s">
        <v>50</v>
      </c>
      <c r="J16" t="s">
        <v>67</v>
      </c>
      <c r="K16" t="s">
        <v>108</v>
      </c>
      <c r="L16">
        <v>7</v>
      </c>
      <c r="M16">
        <v>12825</v>
      </c>
      <c r="N16">
        <v>89775</v>
      </c>
      <c r="O16">
        <v>15</v>
      </c>
      <c r="P16">
        <v>13466.25</v>
      </c>
      <c r="Q16">
        <v>76308.75</v>
      </c>
      <c r="R16" t="s">
        <v>90</v>
      </c>
      <c r="S16" t="s">
        <v>44</v>
      </c>
      <c r="T16">
        <v>19</v>
      </c>
      <c r="U16">
        <v>14498.6625</v>
      </c>
    </row>
    <row r="17" spans="1:21" x14ac:dyDescent="0.25">
      <c r="A17" t="s">
        <v>109</v>
      </c>
      <c r="B17" s="8">
        <v>45792</v>
      </c>
      <c r="C17" t="s">
        <v>63</v>
      </c>
      <c r="D17" t="s">
        <v>110</v>
      </c>
      <c r="E17" t="s">
        <v>24</v>
      </c>
      <c r="F17" t="s">
        <v>25</v>
      </c>
      <c r="G17" t="s">
        <v>26</v>
      </c>
      <c r="H17" t="s">
        <v>27</v>
      </c>
      <c r="I17" t="s">
        <v>88</v>
      </c>
      <c r="J17" t="s">
        <v>67</v>
      </c>
      <c r="K17" t="s">
        <v>111</v>
      </c>
      <c r="L17">
        <v>4</v>
      </c>
      <c r="M17">
        <v>31826</v>
      </c>
      <c r="N17">
        <v>127304</v>
      </c>
      <c r="O17">
        <v>10</v>
      </c>
      <c r="P17">
        <v>12730.4</v>
      </c>
      <c r="Q17">
        <v>114573.6</v>
      </c>
      <c r="R17" t="s">
        <v>31</v>
      </c>
      <c r="S17" t="s">
        <v>69</v>
      </c>
      <c r="T17">
        <v>11</v>
      </c>
      <c r="U17">
        <v>12603.096</v>
      </c>
    </row>
    <row r="18" spans="1:21" x14ac:dyDescent="0.25">
      <c r="A18" t="s">
        <v>112</v>
      </c>
      <c r="B18" s="8">
        <v>45891</v>
      </c>
      <c r="C18" t="s">
        <v>22</v>
      </c>
      <c r="D18" t="s">
        <v>113</v>
      </c>
      <c r="E18" t="s">
        <v>48</v>
      </c>
      <c r="F18" t="s">
        <v>25</v>
      </c>
      <c r="G18" t="s">
        <v>38</v>
      </c>
      <c r="H18" t="s">
        <v>57</v>
      </c>
      <c r="I18" t="s">
        <v>50</v>
      </c>
      <c r="J18" t="s">
        <v>67</v>
      </c>
      <c r="K18" t="s">
        <v>114</v>
      </c>
      <c r="L18">
        <v>6</v>
      </c>
      <c r="M18">
        <v>46567</v>
      </c>
      <c r="N18">
        <v>279402</v>
      </c>
      <c r="O18">
        <v>0</v>
      </c>
      <c r="P18">
        <v>0</v>
      </c>
      <c r="Q18">
        <v>279402</v>
      </c>
      <c r="R18" t="s">
        <v>31</v>
      </c>
      <c r="S18" t="s">
        <v>32</v>
      </c>
      <c r="T18">
        <v>18</v>
      </c>
      <c r="U18">
        <v>50292.36</v>
      </c>
    </row>
    <row r="19" spans="1:21" x14ac:dyDescent="0.25">
      <c r="A19" t="s">
        <v>115</v>
      </c>
      <c r="B19" s="8">
        <v>45681</v>
      </c>
      <c r="C19" t="s">
        <v>63</v>
      </c>
      <c r="D19" t="s">
        <v>116</v>
      </c>
      <c r="E19" t="s">
        <v>73</v>
      </c>
      <c r="F19" t="s">
        <v>74</v>
      </c>
      <c r="G19" t="s">
        <v>38</v>
      </c>
      <c r="H19" t="s">
        <v>57</v>
      </c>
      <c r="I19" t="s">
        <v>28</v>
      </c>
      <c r="J19" t="s">
        <v>117</v>
      </c>
      <c r="K19" t="s">
        <v>118</v>
      </c>
      <c r="L19">
        <v>8</v>
      </c>
      <c r="M19">
        <v>49086</v>
      </c>
      <c r="N19">
        <v>392688</v>
      </c>
      <c r="O19">
        <v>10</v>
      </c>
      <c r="P19">
        <v>39268.800000000003</v>
      </c>
      <c r="Q19">
        <v>353419.2</v>
      </c>
      <c r="R19" t="s">
        <v>43</v>
      </c>
      <c r="S19" t="s">
        <v>44</v>
      </c>
      <c r="T19">
        <v>14</v>
      </c>
      <c r="U19">
        <v>49478.687999999987</v>
      </c>
    </row>
    <row r="20" spans="1:21" x14ac:dyDescent="0.25">
      <c r="A20" t="s">
        <v>119</v>
      </c>
      <c r="B20" s="8">
        <v>45997</v>
      </c>
      <c r="C20" t="s">
        <v>120</v>
      </c>
      <c r="D20" t="s">
        <v>121</v>
      </c>
      <c r="E20" t="s">
        <v>48</v>
      </c>
      <c r="F20" t="s">
        <v>74</v>
      </c>
      <c r="G20" t="s">
        <v>26</v>
      </c>
      <c r="H20" t="s">
        <v>57</v>
      </c>
      <c r="I20" t="s">
        <v>75</v>
      </c>
      <c r="J20" t="s">
        <v>67</v>
      </c>
      <c r="K20" t="s">
        <v>122</v>
      </c>
      <c r="L20">
        <v>7</v>
      </c>
      <c r="M20">
        <v>44119</v>
      </c>
      <c r="N20">
        <v>308833</v>
      </c>
      <c r="O20">
        <v>20</v>
      </c>
      <c r="P20">
        <v>61766.6</v>
      </c>
      <c r="Q20">
        <v>247066.4</v>
      </c>
      <c r="R20" t="s">
        <v>90</v>
      </c>
      <c r="S20" t="s">
        <v>32</v>
      </c>
      <c r="T20">
        <v>8</v>
      </c>
      <c r="U20">
        <v>19765.312000000002</v>
      </c>
    </row>
    <row r="21" spans="1:21" x14ac:dyDescent="0.25">
      <c r="A21" t="s">
        <v>123</v>
      </c>
      <c r="B21" s="8">
        <v>45713</v>
      </c>
      <c r="C21" t="s">
        <v>120</v>
      </c>
      <c r="D21" t="s">
        <v>124</v>
      </c>
      <c r="E21" t="s">
        <v>24</v>
      </c>
      <c r="F21" t="s">
        <v>74</v>
      </c>
      <c r="G21" t="s">
        <v>26</v>
      </c>
      <c r="H21" t="s">
        <v>57</v>
      </c>
      <c r="I21" t="s">
        <v>28</v>
      </c>
      <c r="J21" t="s">
        <v>67</v>
      </c>
      <c r="K21" t="s">
        <v>125</v>
      </c>
      <c r="L21">
        <v>4</v>
      </c>
      <c r="M21">
        <v>28695</v>
      </c>
      <c r="N21">
        <v>114780</v>
      </c>
      <c r="O21">
        <v>5</v>
      </c>
      <c r="P21">
        <v>5739</v>
      </c>
      <c r="Q21">
        <v>109041</v>
      </c>
      <c r="R21" t="s">
        <v>31</v>
      </c>
      <c r="S21" t="s">
        <v>69</v>
      </c>
      <c r="T21">
        <v>26</v>
      </c>
      <c r="U21">
        <v>28350.66</v>
      </c>
    </row>
    <row r="22" spans="1:21" x14ac:dyDescent="0.25">
      <c r="A22" t="s">
        <v>126</v>
      </c>
      <c r="B22" s="8">
        <v>45671</v>
      </c>
      <c r="C22" t="s">
        <v>81</v>
      </c>
      <c r="D22" t="s">
        <v>127</v>
      </c>
      <c r="E22" t="s">
        <v>24</v>
      </c>
      <c r="F22" t="s">
        <v>74</v>
      </c>
      <c r="G22" t="s">
        <v>66</v>
      </c>
      <c r="H22" t="s">
        <v>57</v>
      </c>
      <c r="I22" t="s">
        <v>40</v>
      </c>
      <c r="J22" t="s">
        <v>51</v>
      </c>
      <c r="K22" t="s">
        <v>128</v>
      </c>
      <c r="L22">
        <v>3</v>
      </c>
      <c r="M22">
        <v>44976</v>
      </c>
      <c r="N22">
        <v>134928</v>
      </c>
      <c r="O22">
        <v>20</v>
      </c>
      <c r="P22">
        <v>26985.599999999999</v>
      </c>
      <c r="Q22">
        <v>107942.39999999999</v>
      </c>
      <c r="R22" t="s">
        <v>53</v>
      </c>
      <c r="S22" t="s">
        <v>32</v>
      </c>
      <c r="T22">
        <v>16</v>
      </c>
      <c r="U22">
        <v>17270.784</v>
      </c>
    </row>
    <row r="23" spans="1:21" x14ac:dyDescent="0.25">
      <c r="A23" t="s">
        <v>129</v>
      </c>
      <c r="B23" s="8">
        <v>45926</v>
      </c>
      <c r="C23" t="s">
        <v>92</v>
      </c>
      <c r="D23" t="s">
        <v>130</v>
      </c>
      <c r="E23" t="s">
        <v>48</v>
      </c>
      <c r="F23" t="s">
        <v>65</v>
      </c>
      <c r="G23" t="s">
        <v>26</v>
      </c>
      <c r="H23" t="s">
        <v>39</v>
      </c>
      <c r="I23" t="s">
        <v>88</v>
      </c>
      <c r="J23" t="s">
        <v>117</v>
      </c>
      <c r="K23" t="s">
        <v>131</v>
      </c>
      <c r="L23">
        <v>4</v>
      </c>
      <c r="M23">
        <v>21387</v>
      </c>
      <c r="N23">
        <v>85548</v>
      </c>
      <c r="O23">
        <v>5</v>
      </c>
      <c r="P23">
        <v>4277.3999999999996</v>
      </c>
      <c r="Q23">
        <v>81270.600000000006</v>
      </c>
      <c r="R23" t="s">
        <v>90</v>
      </c>
      <c r="S23" t="s">
        <v>44</v>
      </c>
      <c r="T23">
        <v>18</v>
      </c>
      <c r="U23">
        <v>14628.708000000001</v>
      </c>
    </row>
    <row r="24" spans="1:21" x14ac:dyDescent="0.25">
      <c r="A24" t="s">
        <v>132</v>
      </c>
      <c r="B24" s="8">
        <v>45825</v>
      </c>
      <c r="C24" t="s">
        <v>34</v>
      </c>
      <c r="D24" t="s">
        <v>116</v>
      </c>
      <c r="E24" t="s">
        <v>36</v>
      </c>
      <c r="F24" t="s">
        <v>25</v>
      </c>
      <c r="G24" t="s">
        <v>38</v>
      </c>
      <c r="H24" t="s">
        <v>39</v>
      </c>
      <c r="I24" t="s">
        <v>28</v>
      </c>
      <c r="J24" t="s">
        <v>78</v>
      </c>
      <c r="K24" t="s">
        <v>133</v>
      </c>
      <c r="L24">
        <v>6</v>
      </c>
      <c r="M24">
        <v>3795</v>
      </c>
      <c r="N24">
        <v>22770</v>
      </c>
      <c r="O24">
        <v>15</v>
      </c>
      <c r="P24">
        <v>3415.5</v>
      </c>
      <c r="Q24">
        <v>19354.5</v>
      </c>
      <c r="R24" t="s">
        <v>53</v>
      </c>
      <c r="S24" t="s">
        <v>44</v>
      </c>
      <c r="T24">
        <v>10</v>
      </c>
      <c r="U24">
        <v>1935.45</v>
      </c>
    </row>
    <row r="25" spans="1:21" x14ac:dyDescent="0.25">
      <c r="A25" t="s">
        <v>134</v>
      </c>
      <c r="B25" s="8">
        <v>45928</v>
      </c>
      <c r="C25" t="s">
        <v>81</v>
      </c>
      <c r="D25" t="s">
        <v>135</v>
      </c>
      <c r="E25" t="s">
        <v>24</v>
      </c>
      <c r="F25" t="s">
        <v>37</v>
      </c>
      <c r="G25" t="s">
        <v>26</v>
      </c>
      <c r="H25" t="s">
        <v>57</v>
      </c>
      <c r="I25" t="s">
        <v>28</v>
      </c>
      <c r="J25" t="s">
        <v>67</v>
      </c>
      <c r="K25" t="s">
        <v>136</v>
      </c>
      <c r="L25">
        <v>1</v>
      </c>
      <c r="M25">
        <v>19055</v>
      </c>
      <c r="N25">
        <v>19055</v>
      </c>
      <c r="O25">
        <v>20</v>
      </c>
      <c r="P25">
        <v>3811</v>
      </c>
      <c r="Q25">
        <v>15244</v>
      </c>
      <c r="R25" t="s">
        <v>31</v>
      </c>
      <c r="S25" t="s">
        <v>32</v>
      </c>
      <c r="T25">
        <v>23</v>
      </c>
      <c r="U25">
        <v>3506.12</v>
      </c>
    </row>
    <row r="26" spans="1:21" x14ac:dyDescent="0.25">
      <c r="A26" t="s">
        <v>137</v>
      </c>
      <c r="B26" s="8">
        <v>45882</v>
      </c>
      <c r="C26" t="s">
        <v>22</v>
      </c>
      <c r="D26" t="s">
        <v>138</v>
      </c>
      <c r="E26" t="s">
        <v>24</v>
      </c>
      <c r="F26" t="s">
        <v>49</v>
      </c>
      <c r="G26" t="s">
        <v>26</v>
      </c>
      <c r="H26" t="s">
        <v>39</v>
      </c>
      <c r="I26" t="s">
        <v>75</v>
      </c>
      <c r="J26" t="s">
        <v>29</v>
      </c>
      <c r="K26" t="s">
        <v>139</v>
      </c>
      <c r="L26">
        <v>5</v>
      </c>
      <c r="M26">
        <v>3637</v>
      </c>
      <c r="N26">
        <v>18185</v>
      </c>
      <c r="O26">
        <v>10</v>
      </c>
      <c r="P26">
        <v>1818.5</v>
      </c>
      <c r="Q26">
        <v>16366.5</v>
      </c>
      <c r="R26" t="s">
        <v>43</v>
      </c>
      <c r="S26" t="s">
        <v>69</v>
      </c>
      <c r="T26">
        <v>13</v>
      </c>
      <c r="U26">
        <v>2127.645</v>
      </c>
    </row>
    <row r="27" spans="1:21" x14ac:dyDescent="0.25">
      <c r="A27" t="s">
        <v>140</v>
      </c>
      <c r="B27" s="8">
        <v>45802</v>
      </c>
      <c r="C27" t="s">
        <v>81</v>
      </c>
      <c r="D27" t="s">
        <v>141</v>
      </c>
      <c r="E27" t="s">
        <v>24</v>
      </c>
      <c r="F27" t="s">
        <v>83</v>
      </c>
      <c r="G27" t="s">
        <v>26</v>
      </c>
      <c r="H27" t="s">
        <v>27</v>
      </c>
      <c r="I27" t="s">
        <v>88</v>
      </c>
      <c r="J27" t="s">
        <v>29</v>
      </c>
      <c r="K27" t="s">
        <v>142</v>
      </c>
      <c r="L27">
        <v>7</v>
      </c>
      <c r="M27">
        <v>24319</v>
      </c>
      <c r="N27">
        <v>170233</v>
      </c>
      <c r="O27">
        <v>10</v>
      </c>
      <c r="P27">
        <v>17023.3</v>
      </c>
      <c r="Q27">
        <v>153209.70000000001</v>
      </c>
      <c r="R27" t="s">
        <v>90</v>
      </c>
      <c r="S27" t="s">
        <v>44</v>
      </c>
      <c r="T27">
        <v>20</v>
      </c>
      <c r="U27">
        <v>30641.94</v>
      </c>
    </row>
    <row r="28" spans="1:21" x14ac:dyDescent="0.25">
      <c r="A28" t="s">
        <v>143</v>
      </c>
      <c r="B28" s="8">
        <v>45807</v>
      </c>
      <c r="C28" t="s">
        <v>63</v>
      </c>
      <c r="D28" t="s">
        <v>144</v>
      </c>
      <c r="E28" t="s">
        <v>73</v>
      </c>
      <c r="F28" t="s">
        <v>25</v>
      </c>
      <c r="G28" t="s">
        <v>66</v>
      </c>
      <c r="H28" t="s">
        <v>39</v>
      </c>
      <c r="I28" t="s">
        <v>75</v>
      </c>
      <c r="J28" t="s">
        <v>29</v>
      </c>
      <c r="K28" t="s">
        <v>145</v>
      </c>
      <c r="L28">
        <v>3</v>
      </c>
      <c r="M28">
        <v>21798</v>
      </c>
      <c r="N28">
        <v>65394</v>
      </c>
      <c r="O28">
        <v>10</v>
      </c>
      <c r="P28">
        <v>6539.4</v>
      </c>
      <c r="Q28">
        <v>58854.6</v>
      </c>
      <c r="R28" t="s">
        <v>31</v>
      </c>
      <c r="S28" t="s">
        <v>44</v>
      </c>
      <c r="T28">
        <v>30</v>
      </c>
      <c r="U28">
        <v>17656.38</v>
      </c>
    </row>
    <row r="29" spans="1:21" x14ac:dyDescent="0.25">
      <c r="A29" t="s">
        <v>146</v>
      </c>
      <c r="B29" s="8">
        <v>45834</v>
      </c>
      <c r="C29" t="s">
        <v>147</v>
      </c>
      <c r="D29" t="s">
        <v>148</v>
      </c>
      <c r="E29" t="s">
        <v>36</v>
      </c>
      <c r="F29" t="s">
        <v>83</v>
      </c>
      <c r="G29" t="s">
        <v>26</v>
      </c>
      <c r="H29" t="s">
        <v>27</v>
      </c>
      <c r="I29" t="s">
        <v>101</v>
      </c>
      <c r="J29" t="s">
        <v>78</v>
      </c>
      <c r="K29" t="s">
        <v>149</v>
      </c>
      <c r="L29">
        <v>5</v>
      </c>
      <c r="M29">
        <v>42859</v>
      </c>
      <c r="N29">
        <v>214295</v>
      </c>
      <c r="O29">
        <v>15</v>
      </c>
      <c r="P29">
        <v>32144.25</v>
      </c>
      <c r="Q29">
        <v>182150.75</v>
      </c>
      <c r="R29" t="s">
        <v>90</v>
      </c>
      <c r="S29" t="s">
        <v>69</v>
      </c>
      <c r="T29">
        <v>13</v>
      </c>
      <c r="U29">
        <v>23679.5975</v>
      </c>
    </row>
    <row r="30" spans="1:21" x14ac:dyDescent="0.25">
      <c r="A30" t="s">
        <v>150</v>
      </c>
      <c r="B30" s="8">
        <v>45737</v>
      </c>
      <c r="C30" t="s">
        <v>46</v>
      </c>
      <c r="D30" t="s">
        <v>151</v>
      </c>
      <c r="E30" t="s">
        <v>48</v>
      </c>
      <c r="F30" t="s">
        <v>25</v>
      </c>
      <c r="G30" t="s">
        <v>66</v>
      </c>
      <c r="H30" t="s">
        <v>27</v>
      </c>
      <c r="I30" t="s">
        <v>75</v>
      </c>
      <c r="J30" t="s">
        <v>41</v>
      </c>
      <c r="K30" t="s">
        <v>152</v>
      </c>
      <c r="L30">
        <v>1</v>
      </c>
      <c r="M30">
        <v>42094</v>
      </c>
      <c r="N30">
        <v>42094</v>
      </c>
      <c r="O30">
        <v>0</v>
      </c>
      <c r="P30">
        <v>0</v>
      </c>
      <c r="Q30">
        <v>42094</v>
      </c>
      <c r="R30" t="s">
        <v>43</v>
      </c>
      <c r="S30" t="s">
        <v>69</v>
      </c>
      <c r="T30">
        <v>17</v>
      </c>
      <c r="U30">
        <v>7155.98</v>
      </c>
    </row>
    <row r="31" spans="1:21" x14ac:dyDescent="0.25">
      <c r="A31" t="s">
        <v>153</v>
      </c>
      <c r="B31" s="8">
        <v>45914</v>
      </c>
      <c r="C31" t="s">
        <v>22</v>
      </c>
      <c r="D31" t="s">
        <v>154</v>
      </c>
      <c r="E31" t="s">
        <v>24</v>
      </c>
      <c r="F31" t="s">
        <v>94</v>
      </c>
      <c r="G31" t="s">
        <v>38</v>
      </c>
      <c r="H31" t="s">
        <v>57</v>
      </c>
      <c r="I31" t="s">
        <v>28</v>
      </c>
      <c r="J31" t="s">
        <v>67</v>
      </c>
      <c r="K31" t="s">
        <v>155</v>
      </c>
      <c r="L31">
        <v>4</v>
      </c>
      <c r="M31">
        <v>21681</v>
      </c>
      <c r="N31">
        <v>86724</v>
      </c>
      <c r="O31">
        <v>10</v>
      </c>
      <c r="P31">
        <v>8672.4</v>
      </c>
      <c r="Q31">
        <v>78051.600000000006</v>
      </c>
      <c r="R31" t="s">
        <v>31</v>
      </c>
      <c r="S31" t="s">
        <v>44</v>
      </c>
      <c r="T31">
        <v>30</v>
      </c>
      <c r="U31">
        <v>23415.48</v>
      </c>
    </row>
    <row r="32" spans="1:21" x14ac:dyDescent="0.25">
      <c r="A32" t="s">
        <v>156</v>
      </c>
      <c r="B32" s="8">
        <v>45909</v>
      </c>
      <c r="C32" t="s">
        <v>63</v>
      </c>
      <c r="D32" t="s">
        <v>157</v>
      </c>
      <c r="E32" t="s">
        <v>24</v>
      </c>
      <c r="F32" t="s">
        <v>94</v>
      </c>
      <c r="G32" t="s">
        <v>38</v>
      </c>
      <c r="H32" t="s">
        <v>57</v>
      </c>
      <c r="I32" t="s">
        <v>50</v>
      </c>
      <c r="J32" t="s">
        <v>41</v>
      </c>
      <c r="K32" t="s">
        <v>158</v>
      </c>
      <c r="L32">
        <v>10</v>
      </c>
      <c r="M32">
        <v>13993</v>
      </c>
      <c r="N32">
        <v>139930</v>
      </c>
      <c r="O32">
        <v>20</v>
      </c>
      <c r="P32">
        <v>27986</v>
      </c>
      <c r="Q32">
        <v>111944</v>
      </c>
      <c r="R32" t="s">
        <v>90</v>
      </c>
      <c r="S32" t="s">
        <v>69</v>
      </c>
      <c r="T32">
        <v>22</v>
      </c>
      <c r="U32">
        <v>24627.68</v>
      </c>
    </row>
    <row r="33" spans="1:21" x14ac:dyDescent="0.25">
      <c r="A33" t="s">
        <v>159</v>
      </c>
      <c r="B33" s="8">
        <v>45859</v>
      </c>
      <c r="C33" t="s">
        <v>22</v>
      </c>
      <c r="D33" t="s">
        <v>160</v>
      </c>
      <c r="E33" t="s">
        <v>24</v>
      </c>
      <c r="F33" t="s">
        <v>25</v>
      </c>
      <c r="G33" t="s">
        <v>66</v>
      </c>
      <c r="H33" t="s">
        <v>57</v>
      </c>
      <c r="I33" t="s">
        <v>40</v>
      </c>
      <c r="J33" t="s">
        <v>67</v>
      </c>
      <c r="K33" t="s">
        <v>161</v>
      </c>
      <c r="L33">
        <v>7</v>
      </c>
      <c r="M33">
        <v>28863</v>
      </c>
      <c r="N33">
        <v>202041</v>
      </c>
      <c r="O33">
        <v>10</v>
      </c>
      <c r="P33">
        <v>20204.099999999999</v>
      </c>
      <c r="Q33">
        <v>181836.9</v>
      </c>
      <c r="R33" t="s">
        <v>90</v>
      </c>
      <c r="S33" t="s">
        <v>69</v>
      </c>
      <c r="T33">
        <v>28</v>
      </c>
      <c r="U33">
        <v>50914.332000000002</v>
      </c>
    </row>
    <row r="34" spans="1:21" x14ac:dyDescent="0.25">
      <c r="A34" t="s">
        <v>162</v>
      </c>
      <c r="B34" s="8">
        <v>45738</v>
      </c>
      <c r="C34" t="s">
        <v>63</v>
      </c>
      <c r="D34" t="s">
        <v>163</v>
      </c>
      <c r="E34" t="s">
        <v>48</v>
      </c>
      <c r="F34" t="s">
        <v>94</v>
      </c>
      <c r="G34" t="s">
        <v>38</v>
      </c>
      <c r="H34" t="s">
        <v>27</v>
      </c>
      <c r="I34" t="s">
        <v>101</v>
      </c>
      <c r="J34" t="s">
        <v>51</v>
      </c>
      <c r="K34" t="s">
        <v>164</v>
      </c>
      <c r="L34">
        <v>3</v>
      </c>
      <c r="M34">
        <v>44208</v>
      </c>
      <c r="N34">
        <v>132624</v>
      </c>
      <c r="O34">
        <v>15</v>
      </c>
      <c r="P34">
        <v>19893.599999999999</v>
      </c>
      <c r="Q34">
        <v>112730.4</v>
      </c>
      <c r="R34" t="s">
        <v>31</v>
      </c>
      <c r="S34" t="s">
        <v>32</v>
      </c>
      <c r="T34">
        <v>19</v>
      </c>
      <c r="U34">
        <v>21418.776000000002</v>
      </c>
    </row>
    <row r="35" spans="1:21" x14ac:dyDescent="0.25">
      <c r="A35" t="s">
        <v>165</v>
      </c>
      <c r="B35" s="8">
        <v>45946</v>
      </c>
      <c r="C35" t="s">
        <v>147</v>
      </c>
      <c r="D35" t="s">
        <v>166</v>
      </c>
      <c r="E35" t="s">
        <v>36</v>
      </c>
      <c r="F35" t="s">
        <v>65</v>
      </c>
      <c r="G35" t="s">
        <v>66</v>
      </c>
      <c r="H35" t="s">
        <v>27</v>
      </c>
      <c r="I35" t="s">
        <v>101</v>
      </c>
      <c r="J35" t="s">
        <v>29</v>
      </c>
      <c r="K35" t="s">
        <v>167</v>
      </c>
      <c r="L35">
        <v>5</v>
      </c>
      <c r="M35">
        <v>17741</v>
      </c>
      <c r="N35">
        <v>88705</v>
      </c>
      <c r="O35">
        <v>20</v>
      </c>
      <c r="P35">
        <v>17741</v>
      </c>
      <c r="Q35">
        <v>70964</v>
      </c>
      <c r="R35" t="s">
        <v>43</v>
      </c>
      <c r="S35" t="s">
        <v>32</v>
      </c>
      <c r="T35">
        <v>11</v>
      </c>
      <c r="U35">
        <v>7806.04</v>
      </c>
    </row>
    <row r="36" spans="1:21" x14ac:dyDescent="0.25">
      <c r="A36" t="s">
        <v>168</v>
      </c>
      <c r="B36" s="8">
        <v>45854</v>
      </c>
      <c r="C36" t="s">
        <v>46</v>
      </c>
      <c r="D36" t="s">
        <v>169</v>
      </c>
      <c r="E36" t="s">
        <v>36</v>
      </c>
      <c r="F36" t="s">
        <v>49</v>
      </c>
      <c r="G36" t="s">
        <v>66</v>
      </c>
      <c r="H36" t="s">
        <v>57</v>
      </c>
      <c r="I36" t="s">
        <v>28</v>
      </c>
      <c r="J36" t="s">
        <v>29</v>
      </c>
      <c r="K36" t="s">
        <v>170</v>
      </c>
      <c r="L36">
        <v>9</v>
      </c>
      <c r="M36">
        <v>3365</v>
      </c>
      <c r="N36">
        <v>30285</v>
      </c>
      <c r="O36">
        <v>20</v>
      </c>
      <c r="P36">
        <v>6057</v>
      </c>
      <c r="Q36">
        <v>24228</v>
      </c>
      <c r="R36" t="s">
        <v>43</v>
      </c>
      <c r="S36" t="s">
        <v>32</v>
      </c>
      <c r="T36">
        <v>19</v>
      </c>
      <c r="U36">
        <v>4603.32</v>
      </c>
    </row>
    <row r="37" spans="1:21" x14ac:dyDescent="0.25">
      <c r="A37" t="s">
        <v>171</v>
      </c>
      <c r="B37" s="8">
        <v>45981</v>
      </c>
      <c r="C37" t="s">
        <v>147</v>
      </c>
      <c r="D37" t="s">
        <v>172</v>
      </c>
      <c r="E37" t="s">
        <v>48</v>
      </c>
      <c r="F37" t="s">
        <v>65</v>
      </c>
      <c r="G37" t="s">
        <v>38</v>
      </c>
      <c r="H37" t="s">
        <v>27</v>
      </c>
      <c r="I37" t="s">
        <v>75</v>
      </c>
      <c r="J37" t="s">
        <v>29</v>
      </c>
      <c r="K37" t="s">
        <v>173</v>
      </c>
      <c r="L37">
        <v>7</v>
      </c>
      <c r="M37">
        <v>28016</v>
      </c>
      <c r="N37">
        <v>196112</v>
      </c>
      <c r="O37">
        <v>0</v>
      </c>
      <c r="P37">
        <v>0</v>
      </c>
      <c r="Q37">
        <v>196112</v>
      </c>
      <c r="R37" t="s">
        <v>90</v>
      </c>
      <c r="S37" t="s">
        <v>32</v>
      </c>
      <c r="T37">
        <v>19</v>
      </c>
      <c r="U37">
        <v>37261.279999999999</v>
      </c>
    </row>
    <row r="38" spans="1:21" x14ac:dyDescent="0.25">
      <c r="A38" t="s">
        <v>174</v>
      </c>
      <c r="B38" s="8">
        <v>46015</v>
      </c>
      <c r="C38" t="s">
        <v>92</v>
      </c>
      <c r="D38" t="s">
        <v>175</v>
      </c>
      <c r="E38" t="s">
        <v>48</v>
      </c>
      <c r="F38" t="s">
        <v>56</v>
      </c>
      <c r="G38" t="s">
        <v>26</v>
      </c>
      <c r="H38" t="s">
        <v>57</v>
      </c>
      <c r="I38" t="s">
        <v>50</v>
      </c>
      <c r="J38" t="s">
        <v>41</v>
      </c>
      <c r="K38" t="s">
        <v>176</v>
      </c>
      <c r="L38">
        <v>8</v>
      </c>
      <c r="M38">
        <v>8519</v>
      </c>
      <c r="N38">
        <v>68152</v>
      </c>
      <c r="O38">
        <v>10</v>
      </c>
      <c r="P38">
        <v>6815.2</v>
      </c>
      <c r="Q38">
        <v>61336.800000000003</v>
      </c>
      <c r="R38" t="s">
        <v>53</v>
      </c>
      <c r="S38" t="s">
        <v>32</v>
      </c>
      <c r="T38">
        <v>14</v>
      </c>
      <c r="U38">
        <v>8587.152</v>
      </c>
    </row>
    <row r="39" spans="1:21" x14ac:dyDescent="0.25">
      <c r="A39" t="s">
        <v>177</v>
      </c>
      <c r="B39" s="8">
        <v>45818</v>
      </c>
      <c r="C39" t="s">
        <v>71</v>
      </c>
      <c r="D39" t="s">
        <v>178</v>
      </c>
      <c r="E39" t="s">
        <v>73</v>
      </c>
      <c r="F39" t="s">
        <v>74</v>
      </c>
      <c r="G39" t="s">
        <v>26</v>
      </c>
      <c r="H39" t="s">
        <v>39</v>
      </c>
      <c r="I39" t="s">
        <v>88</v>
      </c>
      <c r="J39" t="s">
        <v>117</v>
      </c>
      <c r="K39" t="s">
        <v>179</v>
      </c>
      <c r="L39">
        <v>5</v>
      </c>
      <c r="M39">
        <v>42818</v>
      </c>
      <c r="N39">
        <v>214090</v>
      </c>
      <c r="O39">
        <v>5</v>
      </c>
      <c r="P39">
        <v>10704.5</v>
      </c>
      <c r="Q39">
        <v>203385.5</v>
      </c>
      <c r="R39" t="s">
        <v>53</v>
      </c>
      <c r="S39" t="s">
        <v>69</v>
      </c>
      <c r="T39">
        <v>28</v>
      </c>
      <c r="U39">
        <v>56947.94</v>
      </c>
    </row>
    <row r="40" spans="1:21" x14ac:dyDescent="0.25">
      <c r="A40" t="s">
        <v>180</v>
      </c>
      <c r="B40" s="8">
        <v>45821</v>
      </c>
      <c r="C40" t="s">
        <v>63</v>
      </c>
      <c r="D40" t="s">
        <v>181</v>
      </c>
      <c r="E40" t="s">
        <v>48</v>
      </c>
      <c r="F40" t="s">
        <v>83</v>
      </c>
      <c r="G40" t="s">
        <v>66</v>
      </c>
      <c r="H40" t="s">
        <v>27</v>
      </c>
      <c r="I40" t="s">
        <v>40</v>
      </c>
      <c r="J40" t="s">
        <v>67</v>
      </c>
      <c r="K40" t="s">
        <v>182</v>
      </c>
      <c r="L40">
        <v>2</v>
      </c>
      <c r="M40">
        <v>19029</v>
      </c>
      <c r="N40">
        <v>38058</v>
      </c>
      <c r="O40">
        <v>15</v>
      </c>
      <c r="P40">
        <v>5708.7</v>
      </c>
      <c r="Q40">
        <v>32349.3</v>
      </c>
      <c r="R40" t="s">
        <v>43</v>
      </c>
      <c r="S40" t="s">
        <v>44</v>
      </c>
      <c r="T40">
        <v>29</v>
      </c>
      <c r="U40">
        <v>9381.2969999999987</v>
      </c>
    </row>
    <row r="41" spans="1:21" x14ac:dyDescent="0.25">
      <c r="A41" t="s">
        <v>183</v>
      </c>
      <c r="B41" s="8">
        <v>45836</v>
      </c>
      <c r="C41" t="s">
        <v>22</v>
      </c>
      <c r="D41" t="s">
        <v>184</v>
      </c>
      <c r="E41" t="s">
        <v>36</v>
      </c>
      <c r="F41" t="s">
        <v>25</v>
      </c>
      <c r="G41" t="s">
        <v>26</v>
      </c>
      <c r="H41" t="s">
        <v>27</v>
      </c>
      <c r="I41" t="s">
        <v>50</v>
      </c>
      <c r="J41" t="s">
        <v>117</v>
      </c>
      <c r="K41" t="s">
        <v>185</v>
      </c>
      <c r="L41">
        <v>10</v>
      </c>
      <c r="M41">
        <v>36119</v>
      </c>
      <c r="N41">
        <v>361190</v>
      </c>
      <c r="O41">
        <v>5</v>
      </c>
      <c r="P41">
        <v>18059.5</v>
      </c>
      <c r="Q41">
        <v>343130.5</v>
      </c>
      <c r="R41" t="s">
        <v>43</v>
      </c>
      <c r="S41" t="s">
        <v>32</v>
      </c>
      <c r="T41">
        <v>18</v>
      </c>
      <c r="U41">
        <v>61763.49</v>
      </c>
    </row>
    <row r="42" spans="1:21" x14ac:dyDescent="0.25">
      <c r="A42" t="s">
        <v>186</v>
      </c>
      <c r="B42" s="8">
        <v>45821</v>
      </c>
      <c r="C42" t="s">
        <v>63</v>
      </c>
      <c r="D42" t="s">
        <v>187</v>
      </c>
      <c r="E42" t="s">
        <v>36</v>
      </c>
      <c r="F42" t="s">
        <v>49</v>
      </c>
      <c r="G42" t="s">
        <v>66</v>
      </c>
      <c r="H42" t="s">
        <v>27</v>
      </c>
      <c r="I42" t="s">
        <v>88</v>
      </c>
      <c r="J42" t="s">
        <v>41</v>
      </c>
      <c r="K42" t="s">
        <v>188</v>
      </c>
      <c r="L42">
        <v>10</v>
      </c>
      <c r="M42">
        <v>540</v>
      </c>
      <c r="N42">
        <v>5400</v>
      </c>
      <c r="O42">
        <v>10</v>
      </c>
      <c r="P42">
        <v>540</v>
      </c>
      <c r="Q42">
        <v>4860</v>
      </c>
      <c r="R42" t="s">
        <v>31</v>
      </c>
      <c r="S42" t="s">
        <v>69</v>
      </c>
      <c r="T42">
        <v>30</v>
      </c>
      <c r="U42">
        <v>1458</v>
      </c>
    </row>
    <row r="43" spans="1:21" x14ac:dyDescent="0.25">
      <c r="A43" t="s">
        <v>189</v>
      </c>
      <c r="B43" s="8">
        <v>45853</v>
      </c>
      <c r="C43" t="s">
        <v>71</v>
      </c>
      <c r="D43" t="s">
        <v>190</v>
      </c>
      <c r="E43" t="s">
        <v>24</v>
      </c>
      <c r="F43" t="s">
        <v>49</v>
      </c>
      <c r="G43" t="s">
        <v>38</v>
      </c>
      <c r="H43" t="s">
        <v>39</v>
      </c>
      <c r="I43" t="s">
        <v>75</v>
      </c>
      <c r="J43" t="s">
        <v>78</v>
      </c>
      <c r="K43" t="s">
        <v>191</v>
      </c>
      <c r="L43">
        <v>4</v>
      </c>
      <c r="M43">
        <v>27267</v>
      </c>
      <c r="N43">
        <v>109068</v>
      </c>
      <c r="O43">
        <v>5</v>
      </c>
      <c r="P43">
        <v>5453.4</v>
      </c>
      <c r="Q43">
        <v>103614.6</v>
      </c>
      <c r="R43" t="s">
        <v>43</v>
      </c>
      <c r="S43" t="s">
        <v>69</v>
      </c>
      <c r="T43">
        <v>13</v>
      </c>
      <c r="U43">
        <v>13469.897999999999</v>
      </c>
    </row>
    <row r="44" spans="1:21" x14ac:dyDescent="0.25">
      <c r="A44" t="s">
        <v>192</v>
      </c>
      <c r="B44" s="8">
        <v>45671</v>
      </c>
      <c r="C44" t="s">
        <v>86</v>
      </c>
      <c r="D44" t="s">
        <v>193</v>
      </c>
      <c r="E44" t="s">
        <v>48</v>
      </c>
      <c r="F44" t="s">
        <v>37</v>
      </c>
      <c r="G44" t="s">
        <v>38</v>
      </c>
      <c r="H44" t="s">
        <v>27</v>
      </c>
      <c r="I44" t="s">
        <v>28</v>
      </c>
      <c r="J44" t="s">
        <v>51</v>
      </c>
      <c r="K44" t="s">
        <v>194</v>
      </c>
      <c r="L44">
        <v>7</v>
      </c>
      <c r="M44">
        <v>33121</v>
      </c>
      <c r="N44">
        <v>231847</v>
      </c>
      <c r="O44">
        <v>0</v>
      </c>
      <c r="P44">
        <v>0</v>
      </c>
      <c r="Q44">
        <v>231847</v>
      </c>
      <c r="R44" t="s">
        <v>53</v>
      </c>
      <c r="S44" t="s">
        <v>44</v>
      </c>
      <c r="T44">
        <v>15</v>
      </c>
      <c r="U44">
        <v>34777.050000000003</v>
      </c>
    </row>
    <row r="45" spans="1:21" x14ac:dyDescent="0.25">
      <c r="A45" t="s">
        <v>195</v>
      </c>
      <c r="B45" s="8">
        <v>45839</v>
      </c>
      <c r="C45" t="s">
        <v>81</v>
      </c>
      <c r="D45" t="s">
        <v>196</v>
      </c>
      <c r="E45" t="s">
        <v>48</v>
      </c>
      <c r="F45" t="s">
        <v>74</v>
      </c>
      <c r="G45" t="s">
        <v>66</v>
      </c>
      <c r="H45" t="s">
        <v>27</v>
      </c>
      <c r="I45" t="s">
        <v>50</v>
      </c>
      <c r="J45" t="s">
        <v>29</v>
      </c>
      <c r="K45" t="s">
        <v>197</v>
      </c>
      <c r="L45">
        <v>10</v>
      </c>
      <c r="M45">
        <v>46173</v>
      </c>
      <c r="N45">
        <v>461730</v>
      </c>
      <c r="O45">
        <v>0</v>
      </c>
      <c r="P45">
        <v>0</v>
      </c>
      <c r="Q45">
        <v>461730</v>
      </c>
      <c r="R45" t="s">
        <v>53</v>
      </c>
      <c r="S45" t="s">
        <v>32</v>
      </c>
      <c r="T45">
        <v>7</v>
      </c>
      <c r="U45">
        <v>32321.1</v>
      </c>
    </row>
    <row r="46" spans="1:21" x14ac:dyDescent="0.25">
      <c r="A46" t="s">
        <v>198</v>
      </c>
      <c r="B46" s="8">
        <v>45918</v>
      </c>
      <c r="C46" t="s">
        <v>147</v>
      </c>
      <c r="D46" t="s">
        <v>199</v>
      </c>
      <c r="E46" t="s">
        <v>73</v>
      </c>
      <c r="F46" t="s">
        <v>49</v>
      </c>
      <c r="G46" t="s">
        <v>66</v>
      </c>
      <c r="H46" t="s">
        <v>57</v>
      </c>
      <c r="I46" t="s">
        <v>28</v>
      </c>
      <c r="J46" t="s">
        <v>67</v>
      </c>
      <c r="K46" t="s">
        <v>200</v>
      </c>
      <c r="L46">
        <v>6</v>
      </c>
      <c r="M46">
        <v>21322</v>
      </c>
      <c r="N46">
        <v>127932</v>
      </c>
      <c r="O46">
        <v>20</v>
      </c>
      <c r="P46">
        <v>25586.400000000001</v>
      </c>
      <c r="Q46">
        <v>102345.60000000001</v>
      </c>
      <c r="R46" t="s">
        <v>43</v>
      </c>
      <c r="S46" t="s">
        <v>32</v>
      </c>
      <c r="T46">
        <v>26</v>
      </c>
      <c r="U46">
        <v>26609.856</v>
      </c>
    </row>
    <row r="47" spans="1:21" x14ac:dyDescent="0.25">
      <c r="A47" t="s">
        <v>201</v>
      </c>
      <c r="B47" s="8">
        <v>45669</v>
      </c>
      <c r="C47" t="s">
        <v>34</v>
      </c>
      <c r="D47" t="s">
        <v>202</v>
      </c>
      <c r="E47" t="s">
        <v>24</v>
      </c>
      <c r="F47" t="s">
        <v>49</v>
      </c>
      <c r="G47" t="s">
        <v>38</v>
      </c>
      <c r="H47" t="s">
        <v>57</v>
      </c>
      <c r="I47" t="s">
        <v>50</v>
      </c>
      <c r="J47" t="s">
        <v>78</v>
      </c>
      <c r="K47" t="s">
        <v>203</v>
      </c>
      <c r="L47">
        <v>6</v>
      </c>
      <c r="M47">
        <v>2693</v>
      </c>
      <c r="N47">
        <v>16158</v>
      </c>
      <c r="O47">
        <v>0</v>
      </c>
      <c r="P47">
        <v>0</v>
      </c>
      <c r="Q47">
        <v>16158</v>
      </c>
      <c r="R47" t="s">
        <v>43</v>
      </c>
      <c r="S47" t="s">
        <v>69</v>
      </c>
      <c r="T47">
        <v>9</v>
      </c>
      <c r="U47">
        <v>1454.22</v>
      </c>
    </row>
    <row r="48" spans="1:21" x14ac:dyDescent="0.25">
      <c r="A48" t="s">
        <v>204</v>
      </c>
      <c r="B48" s="8">
        <v>45874</v>
      </c>
      <c r="C48" t="s">
        <v>81</v>
      </c>
      <c r="D48" t="s">
        <v>205</v>
      </c>
      <c r="E48" t="s">
        <v>24</v>
      </c>
      <c r="F48" t="s">
        <v>25</v>
      </c>
      <c r="G48" t="s">
        <v>38</v>
      </c>
      <c r="H48" t="s">
        <v>39</v>
      </c>
      <c r="I48" t="s">
        <v>40</v>
      </c>
      <c r="J48" t="s">
        <v>67</v>
      </c>
      <c r="K48" t="s">
        <v>206</v>
      </c>
      <c r="L48">
        <v>10</v>
      </c>
      <c r="M48">
        <v>15582</v>
      </c>
      <c r="N48">
        <v>155820</v>
      </c>
      <c r="O48">
        <v>15</v>
      </c>
      <c r="P48">
        <v>23373</v>
      </c>
      <c r="Q48">
        <v>132447</v>
      </c>
      <c r="R48" t="s">
        <v>43</v>
      </c>
      <c r="S48" t="s">
        <v>44</v>
      </c>
      <c r="T48">
        <v>5</v>
      </c>
      <c r="U48">
        <v>6622.35</v>
      </c>
    </row>
    <row r="49" spans="1:21" x14ac:dyDescent="0.25">
      <c r="A49" t="s">
        <v>207</v>
      </c>
      <c r="B49" s="8">
        <v>45979</v>
      </c>
      <c r="C49" t="s">
        <v>63</v>
      </c>
      <c r="D49" t="s">
        <v>208</v>
      </c>
      <c r="E49" t="s">
        <v>73</v>
      </c>
      <c r="F49" t="s">
        <v>94</v>
      </c>
      <c r="G49" t="s">
        <v>26</v>
      </c>
      <c r="H49" t="s">
        <v>39</v>
      </c>
      <c r="I49" t="s">
        <v>50</v>
      </c>
      <c r="J49" t="s">
        <v>117</v>
      </c>
      <c r="K49" t="s">
        <v>209</v>
      </c>
      <c r="L49">
        <v>3</v>
      </c>
      <c r="M49">
        <v>5322</v>
      </c>
      <c r="N49">
        <v>15966</v>
      </c>
      <c r="O49">
        <v>20</v>
      </c>
      <c r="P49">
        <v>3193.2</v>
      </c>
      <c r="Q49">
        <v>12772.8</v>
      </c>
      <c r="R49" t="s">
        <v>90</v>
      </c>
      <c r="S49" t="s">
        <v>32</v>
      </c>
      <c r="T49">
        <v>11</v>
      </c>
      <c r="U49">
        <v>1405.008</v>
      </c>
    </row>
    <row r="50" spans="1:21" x14ac:dyDescent="0.25">
      <c r="A50" t="s">
        <v>210</v>
      </c>
      <c r="B50" s="8">
        <v>45856</v>
      </c>
      <c r="C50" t="s">
        <v>147</v>
      </c>
      <c r="D50" t="s">
        <v>211</v>
      </c>
      <c r="E50" t="s">
        <v>73</v>
      </c>
      <c r="F50" t="s">
        <v>49</v>
      </c>
      <c r="G50" t="s">
        <v>66</v>
      </c>
      <c r="H50" t="s">
        <v>27</v>
      </c>
      <c r="I50" t="s">
        <v>101</v>
      </c>
      <c r="J50" t="s">
        <v>78</v>
      </c>
      <c r="K50" t="s">
        <v>212</v>
      </c>
      <c r="L50">
        <v>9</v>
      </c>
      <c r="M50">
        <v>12043</v>
      </c>
      <c r="N50">
        <v>108387</v>
      </c>
      <c r="O50">
        <v>20</v>
      </c>
      <c r="P50">
        <v>21677.4</v>
      </c>
      <c r="Q50">
        <v>86709.6</v>
      </c>
      <c r="R50" t="s">
        <v>90</v>
      </c>
      <c r="S50" t="s">
        <v>32</v>
      </c>
      <c r="T50">
        <v>18</v>
      </c>
      <c r="U50">
        <v>15607.727999999999</v>
      </c>
    </row>
    <row r="51" spans="1:21" x14ac:dyDescent="0.25">
      <c r="A51" t="s">
        <v>213</v>
      </c>
      <c r="B51" s="8">
        <v>45816</v>
      </c>
      <c r="C51" t="s">
        <v>86</v>
      </c>
      <c r="D51" t="s">
        <v>214</v>
      </c>
      <c r="E51" t="s">
        <v>73</v>
      </c>
      <c r="F51" t="s">
        <v>49</v>
      </c>
      <c r="G51" t="s">
        <v>26</v>
      </c>
      <c r="H51" t="s">
        <v>27</v>
      </c>
      <c r="I51" t="s">
        <v>50</v>
      </c>
      <c r="J51" t="s">
        <v>78</v>
      </c>
      <c r="K51" t="s">
        <v>215</v>
      </c>
      <c r="L51">
        <v>5</v>
      </c>
      <c r="M51">
        <v>21749</v>
      </c>
      <c r="N51">
        <v>108745</v>
      </c>
      <c r="O51">
        <v>20</v>
      </c>
      <c r="P51">
        <v>21749</v>
      </c>
      <c r="Q51">
        <v>86996</v>
      </c>
      <c r="R51" t="s">
        <v>43</v>
      </c>
      <c r="S51" t="s">
        <v>44</v>
      </c>
      <c r="T51">
        <v>23</v>
      </c>
      <c r="U51">
        <v>20009.080000000002</v>
      </c>
    </row>
    <row r="52" spans="1:21" x14ac:dyDescent="0.25">
      <c r="A52" t="s">
        <v>216</v>
      </c>
      <c r="B52" s="8">
        <v>45985</v>
      </c>
      <c r="C52" t="s">
        <v>120</v>
      </c>
      <c r="D52" t="s">
        <v>217</v>
      </c>
      <c r="E52" t="s">
        <v>48</v>
      </c>
      <c r="F52" t="s">
        <v>65</v>
      </c>
      <c r="G52" t="s">
        <v>26</v>
      </c>
      <c r="H52" t="s">
        <v>57</v>
      </c>
      <c r="I52" t="s">
        <v>50</v>
      </c>
      <c r="J52" t="s">
        <v>41</v>
      </c>
      <c r="K52" t="s">
        <v>218</v>
      </c>
      <c r="L52">
        <v>9</v>
      </c>
      <c r="M52">
        <v>48447</v>
      </c>
      <c r="N52">
        <v>436023</v>
      </c>
      <c r="O52">
        <v>0</v>
      </c>
      <c r="P52">
        <v>0</v>
      </c>
      <c r="Q52">
        <v>436023</v>
      </c>
      <c r="R52" t="s">
        <v>43</v>
      </c>
      <c r="S52" t="s">
        <v>32</v>
      </c>
      <c r="T52">
        <v>12</v>
      </c>
      <c r="U52">
        <v>52322.76</v>
      </c>
    </row>
    <row r="53" spans="1:21" x14ac:dyDescent="0.25">
      <c r="A53" t="s">
        <v>219</v>
      </c>
      <c r="B53" s="8">
        <v>45955</v>
      </c>
      <c r="C53" t="s">
        <v>86</v>
      </c>
      <c r="D53" t="s">
        <v>220</v>
      </c>
      <c r="E53" t="s">
        <v>73</v>
      </c>
      <c r="F53" t="s">
        <v>25</v>
      </c>
      <c r="G53" t="s">
        <v>38</v>
      </c>
      <c r="H53" t="s">
        <v>27</v>
      </c>
      <c r="I53" t="s">
        <v>75</v>
      </c>
      <c r="J53" t="s">
        <v>41</v>
      </c>
      <c r="K53" t="s">
        <v>221</v>
      </c>
      <c r="L53">
        <v>3</v>
      </c>
      <c r="M53">
        <v>4820</v>
      </c>
      <c r="N53">
        <v>14460</v>
      </c>
      <c r="O53">
        <v>0</v>
      </c>
      <c r="P53">
        <v>0</v>
      </c>
      <c r="Q53">
        <v>14460</v>
      </c>
      <c r="R53" t="s">
        <v>31</v>
      </c>
      <c r="S53" t="s">
        <v>44</v>
      </c>
      <c r="T53">
        <v>24</v>
      </c>
      <c r="U53">
        <v>3470.4</v>
      </c>
    </row>
    <row r="54" spans="1:21" x14ac:dyDescent="0.25">
      <c r="A54" t="s">
        <v>222</v>
      </c>
      <c r="B54" s="8">
        <v>45736</v>
      </c>
      <c r="C54" t="s">
        <v>120</v>
      </c>
      <c r="D54" t="s">
        <v>223</v>
      </c>
      <c r="E54" t="s">
        <v>48</v>
      </c>
      <c r="F54" t="s">
        <v>37</v>
      </c>
      <c r="G54" t="s">
        <v>26</v>
      </c>
      <c r="H54" t="s">
        <v>57</v>
      </c>
      <c r="I54" t="s">
        <v>28</v>
      </c>
      <c r="J54" t="s">
        <v>78</v>
      </c>
      <c r="K54" t="s">
        <v>224</v>
      </c>
      <c r="L54">
        <v>6</v>
      </c>
      <c r="M54">
        <v>48079</v>
      </c>
      <c r="N54">
        <v>288474</v>
      </c>
      <c r="O54">
        <v>10</v>
      </c>
      <c r="P54">
        <v>28847.4</v>
      </c>
      <c r="Q54">
        <v>259626.6</v>
      </c>
      <c r="R54" t="s">
        <v>31</v>
      </c>
      <c r="S54" t="s">
        <v>44</v>
      </c>
      <c r="T54">
        <v>14</v>
      </c>
      <c r="U54">
        <v>36347.724000000002</v>
      </c>
    </row>
    <row r="55" spans="1:21" x14ac:dyDescent="0.25">
      <c r="A55" t="s">
        <v>225</v>
      </c>
      <c r="B55" s="8">
        <v>45876</v>
      </c>
      <c r="C55" t="s">
        <v>120</v>
      </c>
      <c r="D55" t="s">
        <v>226</v>
      </c>
      <c r="E55" t="s">
        <v>73</v>
      </c>
      <c r="F55" t="s">
        <v>74</v>
      </c>
      <c r="G55" t="s">
        <v>38</v>
      </c>
      <c r="H55" t="s">
        <v>39</v>
      </c>
      <c r="I55" t="s">
        <v>101</v>
      </c>
      <c r="J55" t="s">
        <v>29</v>
      </c>
      <c r="K55" t="s">
        <v>227</v>
      </c>
      <c r="L55">
        <v>6</v>
      </c>
      <c r="M55">
        <v>26300</v>
      </c>
      <c r="N55">
        <v>157800</v>
      </c>
      <c r="O55">
        <v>10</v>
      </c>
      <c r="P55">
        <v>15780</v>
      </c>
      <c r="Q55">
        <v>142020</v>
      </c>
      <c r="R55" t="s">
        <v>43</v>
      </c>
      <c r="S55" t="s">
        <v>44</v>
      </c>
      <c r="T55">
        <v>9</v>
      </c>
      <c r="U55">
        <v>12781.8</v>
      </c>
    </row>
    <row r="56" spans="1:21" x14ac:dyDescent="0.25">
      <c r="A56" t="s">
        <v>228</v>
      </c>
      <c r="B56" s="8">
        <v>45694</v>
      </c>
      <c r="C56" t="s">
        <v>22</v>
      </c>
      <c r="D56" t="s">
        <v>229</v>
      </c>
      <c r="E56" t="s">
        <v>73</v>
      </c>
      <c r="F56" t="s">
        <v>49</v>
      </c>
      <c r="G56" t="s">
        <v>26</v>
      </c>
      <c r="H56" t="s">
        <v>39</v>
      </c>
      <c r="I56" t="s">
        <v>101</v>
      </c>
      <c r="J56" t="s">
        <v>78</v>
      </c>
      <c r="K56" t="s">
        <v>230</v>
      </c>
      <c r="L56">
        <v>4</v>
      </c>
      <c r="M56">
        <v>38442</v>
      </c>
      <c r="N56">
        <v>153768</v>
      </c>
      <c r="O56">
        <v>10</v>
      </c>
      <c r="P56">
        <v>15376.8</v>
      </c>
      <c r="Q56">
        <v>138391.20000000001</v>
      </c>
      <c r="R56" t="s">
        <v>53</v>
      </c>
      <c r="S56" t="s">
        <v>69</v>
      </c>
      <c r="T56">
        <v>18</v>
      </c>
      <c r="U56">
        <v>24910.416000000001</v>
      </c>
    </row>
    <row r="57" spans="1:21" x14ac:dyDescent="0.25">
      <c r="A57" t="s">
        <v>231</v>
      </c>
      <c r="B57" s="8">
        <v>45989</v>
      </c>
      <c r="C57" t="s">
        <v>120</v>
      </c>
      <c r="D57" t="s">
        <v>232</v>
      </c>
      <c r="E57" t="s">
        <v>73</v>
      </c>
      <c r="F57" t="s">
        <v>83</v>
      </c>
      <c r="G57" t="s">
        <v>66</v>
      </c>
      <c r="H57" t="s">
        <v>39</v>
      </c>
      <c r="I57" t="s">
        <v>40</v>
      </c>
      <c r="J57" t="s">
        <v>78</v>
      </c>
      <c r="K57" t="s">
        <v>233</v>
      </c>
      <c r="L57">
        <v>7</v>
      </c>
      <c r="M57">
        <v>49709</v>
      </c>
      <c r="N57">
        <v>347963</v>
      </c>
      <c r="O57">
        <v>20</v>
      </c>
      <c r="P57">
        <v>69592.600000000006</v>
      </c>
      <c r="Q57">
        <v>278370.40000000002</v>
      </c>
      <c r="R57" t="s">
        <v>43</v>
      </c>
      <c r="S57" t="s">
        <v>44</v>
      </c>
      <c r="T57">
        <v>6</v>
      </c>
      <c r="U57">
        <v>16702.223999999998</v>
      </c>
    </row>
    <row r="58" spans="1:21" x14ac:dyDescent="0.25">
      <c r="A58" t="s">
        <v>234</v>
      </c>
      <c r="B58" s="8">
        <v>45690</v>
      </c>
      <c r="C58" t="s">
        <v>34</v>
      </c>
      <c r="D58" t="s">
        <v>235</v>
      </c>
      <c r="E58" t="s">
        <v>48</v>
      </c>
      <c r="F58" t="s">
        <v>49</v>
      </c>
      <c r="G58" t="s">
        <v>38</v>
      </c>
      <c r="H58" t="s">
        <v>27</v>
      </c>
      <c r="I58" t="s">
        <v>40</v>
      </c>
      <c r="J58" t="s">
        <v>29</v>
      </c>
      <c r="K58" t="s">
        <v>236</v>
      </c>
      <c r="L58">
        <v>4</v>
      </c>
      <c r="M58">
        <v>27281</v>
      </c>
      <c r="N58">
        <v>109124</v>
      </c>
      <c r="O58">
        <v>15</v>
      </c>
      <c r="P58">
        <v>16368.6</v>
      </c>
      <c r="Q58">
        <v>92755.4</v>
      </c>
      <c r="R58" t="s">
        <v>31</v>
      </c>
      <c r="S58" t="s">
        <v>69</v>
      </c>
      <c r="T58">
        <v>22</v>
      </c>
      <c r="U58">
        <v>20406.187999999998</v>
      </c>
    </row>
    <row r="59" spans="1:21" x14ac:dyDescent="0.25">
      <c r="A59" t="s">
        <v>237</v>
      </c>
      <c r="B59" s="8">
        <v>45940</v>
      </c>
      <c r="C59" t="s">
        <v>120</v>
      </c>
      <c r="D59" t="s">
        <v>238</v>
      </c>
      <c r="E59" t="s">
        <v>24</v>
      </c>
      <c r="F59" t="s">
        <v>25</v>
      </c>
      <c r="G59" t="s">
        <v>66</v>
      </c>
      <c r="H59" t="s">
        <v>57</v>
      </c>
      <c r="I59" t="s">
        <v>101</v>
      </c>
      <c r="J59" t="s">
        <v>29</v>
      </c>
      <c r="K59" t="s">
        <v>239</v>
      </c>
      <c r="L59">
        <v>6</v>
      </c>
      <c r="M59">
        <v>9453</v>
      </c>
      <c r="N59">
        <v>56718</v>
      </c>
      <c r="O59">
        <v>0</v>
      </c>
      <c r="P59">
        <v>0</v>
      </c>
      <c r="Q59">
        <v>56718</v>
      </c>
      <c r="R59" t="s">
        <v>53</v>
      </c>
      <c r="S59" t="s">
        <v>69</v>
      </c>
      <c r="T59">
        <v>27</v>
      </c>
      <c r="U59">
        <v>15313.86</v>
      </c>
    </row>
    <row r="60" spans="1:21" x14ac:dyDescent="0.25">
      <c r="A60" t="s">
        <v>240</v>
      </c>
      <c r="B60" s="8">
        <v>45980</v>
      </c>
      <c r="C60" t="s">
        <v>120</v>
      </c>
      <c r="D60" t="s">
        <v>241</v>
      </c>
      <c r="E60" t="s">
        <v>24</v>
      </c>
      <c r="F60" t="s">
        <v>37</v>
      </c>
      <c r="G60" t="s">
        <v>66</v>
      </c>
      <c r="H60" t="s">
        <v>27</v>
      </c>
      <c r="I60" t="s">
        <v>101</v>
      </c>
      <c r="J60" t="s">
        <v>78</v>
      </c>
      <c r="K60" t="s">
        <v>242</v>
      </c>
      <c r="L60">
        <v>6</v>
      </c>
      <c r="M60">
        <v>46227</v>
      </c>
      <c r="N60">
        <v>277362</v>
      </c>
      <c r="O60">
        <v>10</v>
      </c>
      <c r="P60">
        <v>27736.2</v>
      </c>
      <c r="Q60">
        <v>249625.8</v>
      </c>
      <c r="R60" t="s">
        <v>43</v>
      </c>
      <c r="S60" t="s">
        <v>32</v>
      </c>
      <c r="T60">
        <v>17</v>
      </c>
      <c r="U60">
        <v>42436.385999999999</v>
      </c>
    </row>
    <row r="61" spans="1:21" x14ac:dyDescent="0.25">
      <c r="A61" t="s">
        <v>243</v>
      </c>
      <c r="B61" s="8">
        <v>45678</v>
      </c>
      <c r="C61" t="s">
        <v>22</v>
      </c>
      <c r="D61" t="s">
        <v>244</v>
      </c>
      <c r="E61" t="s">
        <v>48</v>
      </c>
      <c r="F61" t="s">
        <v>56</v>
      </c>
      <c r="G61" t="s">
        <v>26</v>
      </c>
      <c r="H61" t="s">
        <v>57</v>
      </c>
      <c r="I61" t="s">
        <v>50</v>
      </c>
      <c r="J61" t="s">
        <v>117</v>
      </c>
      <c r="K61" t="s">
        <v>245</v>
      </c>
      <c r="L61">
        <v>10</v>
      </c>
      <c r="M61">
        <v>1321</v>
      </c>
      <c r="N61">
        <v>13210</v>
      </c>
      <c r="O61">
        <v>0</v>
      </c>
      <c r="P61">
        <v>0</v>
      </c>
      <c r="Q61">
        <v>13210</v>
      </c>
      <c r="R61" t="s">
        <v>43</v>
      </c>
      <c r="S61" t="s">
        <v>32</v>
      </c>
      <c r="T61">
        <v>22</v>
      </c>
      <c r="U61">
        <v>2906.2</v>
      </c>
    </row>
    <row r="62" spans="1:21" x14ac:dyDescent="0.25">
      <c r="A62" t="s">
        <v>246</v>
      </c>
      <c r="B62" s="8">
        <v>45939</v>
      </c>
      <c r="C62" t="s">
        <v>71</v>
      </c>
      <c r="D62" t="s">
        <v>247</v>
      </c>
      <c r="E62" t="s">
        <v>73</v>
      </c>
      <c r="F62" t="s">
        <v>56</v>
      </c>
      <c r="G62" t="s">
        <v>66</v>
      </c>
      <c r="H62" t="s">
        <v>27</v>
      </c>
      <c r="I62" t="s">
        <v>28</v>
      </c>
      <c r="J62" t="s">
        <v>117</v>
      </c>
      <c r="K62" t="s">
        <v>248</v>
      </c>
      <c r="L62">
        <v>5</v>
      </c>
      <c r="M62">
        <v>16661</v>
      </c>
      <c r="N62">
        <v>83305</v>
      </c>
      <c r="O62">
        <v>10</v>
      </c>
      <c r="P62">
        <v>8330.5</v>
      </c>
      <c r="Q62">
        <v>74974.5</v>
      </c>
      <c r="R62" t="s">
        <v>53</v>
      </c>
      <c r="S62" t="s">
        <v>32</v>
      </c>
      <c r="T62">
        <v>17</v>
      </c>
      <c r="U62">
        <v>12745.665000000001</v>
      </c>
    </row>
    <row r="63" spans="1:21" x14ac:dyDescent="0.25">
      <c r="A63" t="s">
        <v>249</v>
      </c>
      <c r="B63" s="8">
        <v>45688</v>
      </c>
      <c r="C63" t="s">
        <v>120</v>
      </c>
      <c r="D63" t="s">
        <v>202</v>
      </c>
      <c r="E63" t="s">
        <v>73</v>
      </c>
      <c r="F63" t="s">
        <v>65</v>
      </c>
      <c r="G63" t="s">
        <v>26</v>
      </c>
      <c r="H63" t="s">
        <v>39</v>
      </c>
      <c r="I63" t="s">
        <v>88</v>
      </c>
      <c r="J63" t="s">
        <v>117</v>
      </c>
      <c r="K63" t="s">
        <v>250</v>
      </c>
      <c r="L63">
        <v>3</v>
      </c>
      <c r="M63">
        <v>46856</v>
      </c>
      <c r="N63">
        <v>140568</v>
      </c>
      <c r="O63">
        <v>20</v>
      </c>
      <c r="P63">
        <v>28113.599999999999</v>
      </c>
      <c r="Q63">
        <v>112454.39999999999</v>
      </c>
      <c r="R63" t="s">
        <v>43</v>
      </c>
      <c r="S63" t="s">
        <v>69</v>
      </c>
      <c r="T63">
        <v>15</v>
      </c>
      <c r="U63">
        <v>16868.16</v>
      </c>
    </row>
    <row r="64" spans="1:21" x14ac:dyDescent="0.25">
      <c r="A64" t="s">
        <v>251</v>
      </c>
      <c r="B64" s="8">
        <v>45987</v>
      </c>
      <c r="C64" t="s">
        <v>81</v>
      </c>
      <c r="D64" t="s">
        <v>252</v>
      </c>
      <c r="E64" t="s">
        <v>24</v>
      </c>
      <c r="F64" t="s">
        <v>94</v>
      </c>
      <c r="G64" t="s">
        <v>66</v>
      </c>
      <c r="H64" t="s">
        <v>57</v>
      </c>
      <c r="I64" t="s">
        <v>75</v>
      </c>
      <c r="J64" t="s">
        <v>51</v>
      </c>
      <c r="K64" t="s">
        <v>253</v>
      </c>
      <c r="L64">
        <v>3</v>
      </c>
      <c r="M64">
        <v>47651</v>
      </c>
      <c r="N64">
        <v>142953</v>
      </c>
      <c r="O64">
        <v>0</v>
      </c>
      <c r="P64">
        <v>0</v>
      </c>
      <c r="Q64">
        <v>142953</v>
      </c>
      <c r="R64" t="s">
        <v>90</v>
      </c>
      <c r="S64" t="s">
        <v>44</v>
      </c>
      <c r="T64">
        <v>5</v>
      </c>
      <c r="U64">
        <v>7147.65</v>
      </c>
    </row>
    <row r="65" spans="1:21" x14ac:dyDescent="0.25">
      <c r="A65" t="s">
        <v>254</v>
      </c>
      <c r="B65" s="8">
        <v>45719</v>
      </c>
      <c r="C65" t="s">
        <v>81</v>
      </c>
      <c r="D65" t="s">
        <v>255</v>
      </c>
      <c r="E65" t="s">
        <v>36</v>
      </c>
      <c r="F65" t="s">
        <v>56</v>
      </c>
      <c r="G65" t="s">
        <v>38</v>
      </c>
      <c r="H65" t="s">
        <v>57</v>
      </c>
      <c r="I65" t="s">
        <v>28</v>
      </c>
      <c r="J65" t="s">
        <v>51</v>
      </c>
      <c r="K65" t="s">
        <v>256</v>
      </c>
      <c r="L65">
        <v>4</v>
      </c>
      <c r="M65">
        <v>28911</v>
      </c>
      <c r="N65">
        <v>115644</v>
      </c>
      <c r="O65">
        <v>5</v>
      </c>
      <c r="P65">
        <v>5782.2</v>
      </c>
      <c r="Q65">
        <v>109861.8</v>
      </c>
      <c r="R65" t="s">
        <v>43</v>
      </c>
      <c r="S65" t="s">
        <v>69</v>
      </c>
      <c r="T65">
        <v>23</v>
      </c>
      <c r="U65">
        <v>25268.214</v>
      </c>
    </row>
    <row r="66" spans="1:21" x14ac:dyDescent="0.25">
      <c r="A66" t="s">
        <v>257</v>
      </c>
      <c r="B66" s="8">
        <v>45759</v>
      </c>
      <c r="C66" t="s">
        <v>46</v>
      </c>
      <c r="D66" t="s">
        <v>258</v>
      </c>
      <c r="E66" t="s">
        <v>36</v>
      </c>
      <c r="F66" t="s">
        <v>25</v>
      </c>
      <c r="G66" t="s">
        <v>26</v>
      </c>
      <c r="H66" t="s">
        <v>39</v>
      </c>
      <c r="I66" t="s">
        <v>40</v>
      </c>
      <c r="J66" t="s">
        <v>41</v>
      </c>
      <c r="K66" t="s">
        <v>259</v>
      </c>
      <c r="L66">
        <v>9</v>
      </c>
      <c r="M66">
        <v>15765</v>
      </c>
      <c r="N66">
        <v>141885</v>
      </c>
      <c r="O66">
        <v>20</v>
      </c>
      <c r="P66">
        <v>28377</v>
      </c>
      <c r="Q66">
        <v>113508</v>
      </c>
      <c r="R66" t="s">
        <v>90</v>
      </c>
      <c r="S66" t="s">
        <v>32</v>
      </c>
      <c r="T66">
        <v>9</v>
      </c>
      <c r="U66">
        <v>10215.719999999999</v>
      </c>
    </row>
    <row r="67" spans="1:21" x14ac:dyDescent="0.25">
      <c r="A67" t="s">
        <v>260</v>
      </c>
      <c r="B67" s="8">
        <v>45735</v>
      </c>
      <c r="C67" t="s">
        <v>86</v>
      </c>
      <c r="D67" t="s">
        <v>261</v>
      </c>
      <c r="E67" t="s">
        <v>48</v>
      </c>
      <c r="F67" t="s">
        <v>65</v>
      </c>
      <c r="G67" t="s">
        <v>26</v>
      </c>
      <c r="H67" t="s">
        <v>39</v>
      </c>
      <c r="I67" t="s">
        <v>50</v>
      </c>
      <c r="J67" t="s">
        <v>29</v>
      </c>
      <c r="K67" t="s">
        <v>262</v>
      </c>
      <c r="L67">
        <v>3</v>
      </c>
      <c r="M67">
        <v>24259</v>
      </c>
      <c r="N67">
        <v>72777</v>
      </c>
      <c r="O67">
        <v>5</v>
      </c>
      <c r="P67">
        <v>3638.85</v>
      </c>
      <c r="Q67">
        <v>69138.149999999994</v>
      </c>
      <c r="R67" t="s">
        <v>31</v>
      </c>
      <c r="S67" t="s">
        <v>32</v>
      </c>
      <c r="T67">
        <v>20</v>
      </c>
      <c r="U67">
        <v>13827.63</v>
      </c>
    </row>
    <row r="68" spans="1:21" x14ac:dyDescent="0.25">
      <c r="A68" t="s">
        <v>263</v>
      </c>
      <c r="B68" s="8">
        <v>45816</v>
      </c>
      <c r="C68" t="s">
        <v>86</v>
      </c>
      <c r="D68" t="s">
        <v>264</v>
      </c>
      <c r="E68" t="s">
        <v>48</v>
      </c>
      <c r="F68" t="s">
        <v>37</v>
      </c>
      <c r="G68" t="s">
        <v>38</v>
      </c>
      <c r="H68" t="s">
        <v>27</v>
      </c>
      <c r="I68" t="s">
        <v>101</v>
      </c>
      <c r="J68" t="s">
        <v>29</v>
      </c>
      <c r="K68" t="s">
        <v>265</v>
      </c>
      <c r="L68">
        <v>1</v>
      </c>
      <c r="M68">
        <v>47004</v>
      </c>
      <c r="N68">
        <v>47004</v>
      </c>
      <c r="O68">
        <v>15</v>
      </c>
      <c r="P68">
        <v>7050.6</v>
      </c>
      <c r="Q68">
        <v>39953.4</v>
      </c>
      <c r="R68" t="s">
        <v>43</v>
      </c>
      <c r="S68" t="s">
        <v>69</v>
      </c>
      <c r="T68">
        <v>11</v>
      </c>
      <c r="U68">
        <v>4394.8739999999998</v>
      </c>
    </row>
    <row r="69" spans="1:21" x14ac:dyDescent="0.25">
      <c r="A69" t="s">
        <v>266</v>
      </c>
      <c r="B69" s="8">
        <v>45942</v>
      </c>
      <c r="C69" t="s">
        <v>63</v>
      </c>
      <c r="D69" t="s">
        <v>267</v>
      </c>
      <c r="E69" t="s">
        <v>73</v>
      </c>
      <c r="F69" t="s">
        <v>56</v>
      </c>
      <c r="G69" t="s">
        <v>38</v>
      </c>
      <c r="H69" t="s">
        <v>39</v>
      </c>
      <c r="I69" t="s">
        <v>50</v>
      </c>
      <c r="J69" t="s">
        <v>51</v>
      </c>
      <c r="K69" t="s">
        <v>268</v>
      </c>
      <c r="L69">
        <v>8</v>
      </c>
      <c r="M69">
        <v>47325</v>
      </c>
      <c r="N69">
        <v>378600</v>
      </c>
      <c r="O69">
        <v>10</v>
      </c>
      <c r="P69">
        <v>37860</v>
      </c>
      <c r="Q69">
        <v>340740</v>
      </c>
      <c r="R69" t="s">
        <v>53</v>
      </c>
      <c r="S69" t="s">
        <v>44</v>
      </c>
      <c r="T69">
        <v>14</v>
      </c>
      <c r="U69">
        <v>47703.6</v>
      </c>
    </row>
    <row r="70" spans="1:21" x14ac:dyDescent="0.25">
      <c r="A70" t="s">
        <v>269</v>
      </c>
      <c r="B70" s="8">
        <v>45944</v>
      </c>
      <c r="C70" t="s">
        <v>92</v>
      </c>
      <c r="D70" t="s">
        <v>270</v>
      </c>
      <c r="E70" t="s">
        <v>48</v>
      </c>
      <c r="F70" t="s">
        <v>25</v>
      </c>
      <c r="G70" t="s">
        <v>38</v>
      </c>
      <c r="H70" t="s">
        <v>39</v>
      </c>
      <c r="I70" t="s">
        <v>50</v>
      </c>
      <c r="J70" t="s">
        <v>41</v>
      </c>
      <c r="K70" t="s">
        <v>271</v>
      </c>
      <c r="L70">
        <v>4</v>
      </c>
      <c r="M70">
        <v>2083</v>
      </c>
      <c r="N70">
        <v>8332</v>
      </c>
      <c r="O70">
        <v>5</v>
      </c>
      <c r="P70">
        <v>416.6</v>
      </c>
      <c r="Q70">
        <v>7915.4</v>
      </c>
      <c r="R70" t="s">
        <v>43</v>
      </c>
      <c r="S70" t="s">
        <v>32</v>
      </c>
      <c r="T70">
        <v>28</v>
      </c>
      <c r="U70">
        <v>2216.3119999999999</v>
      </c>
    </row>
    <row r="71" spans="1:21" x14ac:dyDescent="0.25">
      <c r="A71" t="s">
        <v>272</v>
      </c>
      <c r="B71" s="8">
        <v>45928</v>
      </c>
      <c r="C71" t="s">
        <v>147</v>
      </c>
      <c r="D71" t="s">
        <v>273</v>
      </c>
      <c r="E71" t="s">
        <v>36</v>
      </c>
      <c r="F71" t="s">
        <v>94</v>
      </c>
      <c r="G71" t="s">
        <v>38</v>
      </c>
      <c r="H71" t="s">
        <v>57</v>
      </c>
      <c r="I71" t="s">
        <v>28</v>
      </c>
      <c r="J71" t="s">
        <v>29</v>
      </c>
      <c r="K71" t="s">
        <v>274</v>
      </c>
      <c r="L71">
        <v>6</v>
      </c>
      <c r="M71">
        <v>22454</v>
      </c>
      <c r="N71">
        <v>134724</v>
      </c>
      <c r="O71">
        <v>0</v>
      </c>
      <c r="P71">
        <v>0</v>
      </c>
      <c r="Q71">
        <v>134724</v>
      </c>
      <c r="R71" t="s">
        <v>31</v>
      </c>
      <c r="S71" t="s">
        <v>44</v>
      </c>
      <c r="T71">
        <v>6</v>
      </c>
      <c r="U71">
        <v>8083.44</v>
      </c>
    </row>
    <row r="72" spans="1:21" x14ac:dyDescent="0.25">
      <c r="A72" t="s">
        <v>275</v>
      </c>
      <c r="B72" s="8">
        <v>46000</v>
      </c>
      <c r="C72" t="s">
        <v>86</v>
      </c>
      <c r="D72" t="s">
        <v>276</v>
      </c>
      <c r="E72" t="s">
        <v>36</v>
      </c>
      <c r="F72" t="s">
        <v>49</v>
      </c>
      <c r="G72" t="s">
        <v>38</v>
      </c>
      <c r="H72" t="s">
        <v>57</v>
      </c>
      <c r="I72" t="s">
        <v>101</v>
      </c>
      <c r="J72" t="s">
        <v>41</v>
      </c>
      <c r="K72" t="s">
        <v>277</v>
      </c>
      <c r="L72">
        <v>2</v>
      </c>
      <c r="M72">
        <v>14574</v>
      </c>
      <c r="N72">
        <v>29148</v>
      </c>
      <c r="O72">
        <v>20</v>
      </c>
      <c r="P72">
        <v>5829.6</v>
      </c>
      <c r="Q72">
        <v>23318.400000000001</v>
      </c>
      <c r="R72" t="s">
        <v>53</v>
      </c>
      <c r="S72" t="s">
        <v>32</v>
      </c>
      <c r="T72">
        <v>13</v>
      </c>
      <c r="U72">
        <v>3031.3919999999998</v>
      </c>
    </row>
    <row r="73" spans="1:21" x14ac:dyDescent="0.25">
      <c r="A73" t="s">
        <v>278</v>
      </c>
      <c r="B73" s="8">
        <v>45821</v>
      </c>
      <c r="C73" t="s">
        <v>71</v>
      </c>
      <c r="D73" t="s">
        <v>279</v>
      </c>
      <c r="E73" t="s">
        <v>36</v>
      </c>
      <c r="F73" t="s">
        <v>94</v>
      </c>
      <c r="G73" t="s">
        <v>26</v>
      </c>
      <c r="H73" t="s">
        <v>57</v>
      </c>
      <c r="I73" t="s">
        <v>88</v>
      </c>
      <c r="J73" t="s">
        <v>117</v>
      </c>
      <c r="K73" t="s">
        <v>280</v>
      </c>
      <c r="L73">
        <v>3</v>
      </c>
      <c r="M73">
        <v>16021</v>
      </c>
      <c r="N73">
        <v>48063</v>
      </c>
      <c r="O73">
        <v>10</v>
      </c>
      <c r="P73">
        <v>4806.3</v>
      </c>
      <c r="Q73">
        <v>43256.7</v>
      </c>
      <c r="R73" t="s">
        <v>53</v>
      </c>
      <c r="S73" t="s">
        <v>69</v>
      </c>
      <c r="T73">
        <v>12</v>
      </c>
      <c r="U73">
        <v>5190.8040000000001</v>
      </c>
    </row>
    <row r="74" spans="1:21" x14ac:dyDescent="0.25">
      <c r="A74" t="s">
        <v>281</v>
      </c>
      <c r="B74" s="8">
        <v>45715</v>
      </c>
      <c r="C74" t="s">
        <v>120</v>
      </c>
      <c r="D74" t="s">
        <v>282</v>
      </c>
      <c r="E74" t="s">
        <v>24</v>
      </c>
      <c r="F74" t="s">
        <v>83</v>
      </c>
      <c r="G74" t="s">
        <v>38</v>
      </c>
      <c r="H74" t="s">
        <v>39</v>
      </c>
      <c r="I74" t="s">
        <v>101</v>
      </c>
      <c r="J74" t="s">
        <v>117</v>
      </c>
      <c r="K74" t="s">
        <v>283</v>
      </c>
      <c r="L74">
        <v>10</v>
      </c>
      <c r="M74">
        <v>24062</v>
      </c>
      <c r="N74">
        <v>240620</v>
      </c>
      <c r="O74">
        <v>20</v>
      </c>
      <c r="P74">
        <v>48124</v>
      </c>
      <c r="Q74">
        <v>192496</v>
      </c>
      <c r="R74" t="s">
        <v>31</v>
      </c>
      <c r="S74" t="s">
        <v>32</v>
      </c>
      <c r="T74">
        <v>11</v>
      </c>
      <c r="U74">
        <v>21174.560000000001</v>
      </c>
    </row>
    <row r="75" spans="1:21" x14ac:dyDescent="0.25">
      <c r="A75" t="s">
        <v>284</v>
      </c>
      <c r="B75" s="8">
        <v>45755</v>
      </c>
      <c r="C75" t="s">
        <v>63</v>
      </c>
      <c r="D75" t="s">
        <v>285</v>
      </c>
      <c r="E75" t="s">
        <v>36</v>
      </c>
      <c r="F75" t="s">
        <v>37</v>
      </c>
      <c r="G75" t="s">
        <v>26</v>
      </c>
      <c r="H75" t="s">
        <v>57</v>
      </c>
      <c r="I75" t="s">
        <v>40</v>
      </c>
      <c r="J75" t="s">
        <v>117</v>
      </c>
      <c r="K75" t="s">
        <v>286</v>
      </c>
      <c r="L75">
        <v>9</v>
      </c>
      <c r="M75">
        <v>22517</v>
      </c>
      <c r="N75">
        <v>202653</v>
      </c>
      <c r="O75">
        <v>0</v>
      </c>
      <c r="P75">
        <v>0</v>
      </c>
      <c r="Q75">
        <v>202653</v>
      </c>
      <c r="R75" t="s">
        <v>43</v>
      </c>
      <c r="S75" t="s">
        <v>69</v>
      </c>
      <c r="T75">
        <v>29</v>
      </c>
      <c r="U75">
        <v>58769.37</v>
      </c>
    </row>
    <row r="76" spans="1:21" x14ac:dyDescent="0.25">
      <c r="A76" t="s">
        <v>287</v>
      </c>
      <c r="B76" s="8">
        <v>45842</v>
      </c>
      <c r="C76" t="s">
        <v>71</v>
      </c>
      <c r="D76" t="s">
        <v>288</v>
      </c>
      <c r="E76" t="s">
        <v>48</v>
      </c>
      <c r="F76" t="s">
        <v>74</v>
      </c>
      <c r="G76" t="s">
        <v>38</v>
      </c>
      <c r="H76" t="s">
        <v>39</v>
      </c>
      <c r="I76" t="s">
        <v>75</v>
      </c>
      <c r="J76" t="s">
        <v>29</v>
      </c>
      <c r="K76" t="s">
        <v>289</v>
      </c>
      <c r="L76">
        <v>1</v>
      </c>
      <c r="M76">
        <v>8582</v>
      </c>
      <c r="N76">
        <v>8582</v>
      </c>
      <c r="O76">
        <v>15</v>
      </c>
      <c r="P76">
        <v>1287.3</v>
      </c>
      <c r="Q76">
        <v>7294.7</v>
      </c>
      <c r="R76" t="s">
        <v>90</v>
      </c>
      <c r="S76" t="s">
        <v>32</v>
      </c>
      <c r="T76">
        <v>13</v>
      </c>
      <c r="U76">
        <v>948.31099999999992</v>
      </c>
    </row>
    <row r="77" spans="1:21" x14ac:dyDescent="0.25">
      <c r="A77" t="s">
        <v>290</v>
      </c>
      <c r="B77" s="8">
        <v>45824</v>
      </c>
      <c r="C77" t="s">
        <v>22</v>
      </c>
      <c r="D77" t="s">
        <v>291</v>
      </c>
      <c r="E77" t="s">
        <v>73</v>
      </c>
      <c r="F77" t="s">
        <v>94</v>
      </c>
      <c r="G77" t="s">
        <v>38</v>
      </c>
      <c r="H77" t="s">
        <v>39</v>
      </c>
      <c r="I77" t="s">
        <v>28</v>
      </c>
      <c r="J77" t="s">
        <v>41</v>
      </c>
      <c r="K77" t="s">
        <v>292</v>
      </c>
      <c r="L77">
        <v>2</v>
      </c>
      <c r="M77">
        <v>15495</v>
      </c>
      <c r="N77">
        <v>30990</v>
      </c>
      <c r="O77">
        <v>0</v>
      </c>
      <c r="P77">
        <v>0</v>
      </c>
      <c r="Q77">
        <v>30990</v>
      </c>
      <c r="R77" t="s">
        <v>43</v>
      </c>
      <c r="S77" t="s">
        <v>44</v>
      </c>
      <c r="T77">
        <v>19</v>
      </c>
      <c r="U77">
        <v>5888.1</v>
      </c>
    </row>
    <row r="78" spans="1:21" x14ac:dyDescent="0.25">
      <c r="A78" t="s">
        <v>293</v>
      </c>
      <c r="B78" s="8">
        <v>45735</v>
      </c>
      <c r="C78" t="s">
        <v>63</v>
      </c>
      <c r="D78" t="s">
        <v>294</v>
      </c>
      <c r="E78" t="s">
        <v>36</v>
      </c>
      <c r="F78" t="s">
        <v>37</v>
      </c>
      <c r="G78" t="s">
        <v>66</v>
      </c>
      <c r="H78" t="s">
        <v>57</v>
      </c>
      <c r="I78" t="s">
        <v>28</v>
      </c>
      <c r="J78" t="s">
        <v>117</v>
      </c>
      <c r="K78" t="s">
        <v>295</v>
      </c>
      <c r="L78">
        <v>1</v>
      </c>
      <c r="M78">
        <v>44347</v>
      </c>
      <c r="N78">
        <v>44347</v>
      </c>
      <c r="O78">
        <v>15</v>
      </c>
      <c r="P78">
        <v>6652.05</v>
      </c>
      <c r="Q78">
        <v>37694.949999999997</v>
      </c>
      <c r="R78" t="s">
        <v>43</v>
      </c>
      <c r="S78" t="s">
        <v>69</v>
      </c>
      <c r="T78">
        <v>30</v>
      </c>
      <c r="U78">
        <v>11308.485000000001</v>
      </c>
    </row>
    <row r="79" spans="1:21" x14ac:dyDescent="0.25">
      <c r="A79" t="s">
        <v>296</v>
      </c>
      <c r="B79" s="8">
        <v>46016</v>
      </c>
      <c r="C79" t="s">
        <v>34</v>
      </c>
      <c r="D79" t="s">
        <v>297</v>
      </c>
      <c r="E79" t="s">
        <v>48</v>
      </c>
      <c r="F79" t="s">
        <v>37</v>
      </c>
      <c r="G79" t="s">
        <v>26</v>
      </c>
      <c r="H79" t="s">
        <v>39</v>
      </c>
      <c r="I79" t="s">
        <v>75</v>
      </c>
      <c r="J79" t="s">
        <v>29</v>
      </c>
      <c r="K79" t="s">
        <v>298</v>
      </c>
      <c r="L79">
        <v>7</v>
      </c>
      <c r="M79">
        <v>38642</v>
      </c>
      <c r="N79">
        <v>270494</v>
      </c>
      <c r="O79">
        <v>0</v>
      </c>
      <c r="P79">
        <v>0</v>
      </c>
      <c r="Q79">
        <v>270494</v>
      </c>
      <c r="R79" t="s">
        <v>31</v>
      </c>
      <c r="S79" t="s">
        <v>69</v>
      </c>
      <c r="T79">
        <v>25</v>
      </c>
      <c r="U79">
        <v>67623.5</v>
      </c>
    </row>
    <row r="80" spans="1:21" x14ac:dyDescent="0.25">
      <c r="A80" t="s">
        <v>299</v>
      </c>
      <c r="B80" s="8">
        <v>45671</v>
      </c>
      <c r="C80" t="s">
        <v>34</v>
      </c>
      <c r="D80" t="s">
        <v>300</v>
      </c>
      <c r="E80" t="s">
        <v>24</v>
      </c>
      <c r="F80" t="s">
        <v>25</v>
      </c>
      <c r="G80" t="s">
        <v>66</v>
      </c>
      <c r="H80" t="s">
        <v>39</v>
      </c>
      <c r="I80" t="s">
        <v>75</v>
      </c>
      <c r="J80" t="s">
        <v>41</v>
      </c>
      <c r="K80" t="s">
        <v>301</v>
      </c>
      <c r="L80">
        <v>6</v>
      </c>
      <c r="M80">
        <v>46470</v>
      </c>
      <c r="N80">
        <v>278820</v>
      </c>
      <c r="O80">
        <v>15</v>
      </c>
      <c r="P80">
        <v>41823</v>
      </c>
      <c r="Q80">
        <v>236997</v>
      </c>
      <c r="R80" t="s">
        <v>43</v>
      </c>
      <c r="S80" t="s">
        <v>69</v>
      </c>
      <c r="T80">
        <v>15</v>
      </c>
      <c r="U80">
        <v>35549.550000000003</v>
      </c>
    </row>
    <row r="81" spans="1:21" x14ac:dyDescent="0.25">
      <c r="A81" t="s">
        <v>302</v>
      </c>
      <c r="B81" s="8">
        <v>45890</v>
      </c>
      <c r="C81" t="s">
        <v>147</v>
      </c>
      <c r="D81" t="s">
        <v>303</v>
      </c>
      <c r="E81" t="s">
        <v>73</v>
      </c>
      <c r="F81" t="s">
        <v>83</v>
      </c>
      <c r="G81" t="s">
        <v>38</v>
      </c>
      <c r="H81" t="s">
        <v>27</v>
      </c>
      <c r="I81" t="s">
        <v>40</v>
      </c>
      <c r="J81" t="s">
        <v>117</v>
      </c>
      <c r="K81" t="s">
        <v>304</v>
      </c>
      <c r="L81">
        <v>7</v>
      </c>
      <c r="M81">
        <v>5156</v>
      </c>
      <c r="N81">
        <v>36092</v>
      </c>
      <c r="O81">
        <v>10</v>
      </c>
      <c r="P81">
        <v>3609.2</v>
      </c>
      <c r="Q81">
        <v>32482.799999999999</v>
      </c>
      <c r="R81" t="s">
        <v>53</v>
      </c>
      <c r="S81" t="s">
        <v>44</v>
      </c>
      <c r="T81">
        <v>27</v>
      </c>
      <c r="U81">
        <v>8770.3559999999998</v>
      </c>
    </row>
    <row r="82" spans="1:21" x14ac:dyDescent="0.25">
      <c r="A82" t="s">
        <v>305</v>
      </c>
      <c r="B82" s="8">
        <v>45732</v>
      </c>
      <c r="C82" t="s">
        <v>81</v>
      </c>
      <c r="D82" t="s">
        <v>306</v>
      </c>
      <c r="E82" t="s">
        <v>73</v>
      </c>
      <c r="F82" t="s">
        <v>56</v>
      </c>
      <c r="G82" t="s">
        <v>38</v>
      </c>
      <c r="H82" t="s">
        <v>57</v>
      </c>
      <c r="I82" t="s">
        <v>28</v>
      </c>
      <c r="J82" t="s">
        <v>117</v>
      </c>
      <c r="K82" t="s">
        <v>307</v>
      </c>
      <c r="L82">
        <v>6</v>
      </c>
      <c r="M82">
        <v>19001</v>
      </c>
      <c r="N82">
        <v>114006</v>
      </c>
      <c r="O82">
        <v>5</v>
      </c>
      <c r="P82">
        <v>5700.3</v>
      </c>
      <c r="Q82">
        <v>108305.7</v>
      </c>
      <c r="R82" t="s">
        <v>53</v>
      </c>
      <c r="S82" t="s">
        <v>69</v>
      </c>
      <c r="T82">
        <v>18</v>
      </c>
      <c r="U82">
        <v>19495.026000000002</v>
      </c>
    </row>
    <row r="83" spans="1:21" x14ac:dyDescent="0.25">
      <c r="A83" t="s">
        <v>308</v>
      </c>
      <c r="B83" s="8">
        <v>45687</v>
      </c>
      <c r="C83" t="s">
        <v>63</v>
      </c>
      <c r="D83" t="s">
        <v>309</v>
      </c>
      <c r="E83" t="s">
        <v>36</v>
      </c>
      <c r="F83" t="s">
        <v>94</v>
      </c>
      <c r="G83" t="s">
        <v>38</v>
      </c>
      <c r="H83" t="s">
        <v>39</v>
      </c>
      <c r="I83" t="s">
        <v>101</v>
      </c>
      <c r="J83" t="s">
        <v>29</v>
      </c>
      <c r="K83" t="s">
        <v>310</v>
      </c>
      <c r="L83">
        <v>6</v>
      </c>
      <c r="M83">
        <v>9780</v>
      </c>
      <c r="N83">
        <v>58680</v>
      </c>
      <c r="O83">
        <v>20</v>
      </c>
      <c r="P83">
        <v>11736</v>
      </c>
      <c r="Q83">
        <v>46944</v>
      </c>
      <c r="R83" t="s">
        <v>31</v>
      </c>
      <c r="S83" t="s">
        <v>32</v>
      </c>
      <c r="T83">
        <v>9</v>
      </c>
      <c r="U83">
        <v>4224.96</v>
      </c>
    </row>
    <row r="84" spans="1:21" x14ac:dyDescent="0.25">
      <c r="A84" t="s">
        <v>311</v>
      </c>
      <c r="B84" s="8">
        <v>45849</v>
      </c>
      <c r="C84" t="s">
        <v>22</v>
      </c>
      <c r="D84" t="s">
        <v>312</v>
      </c>
      <c r="E84" t="s">
        <v>48</v>
      </c>
      <c r="F84" t="s">
        <v>25</v>
      </c>
      <c r="G84" t="s">
        <v>38</v>
      </c>
      <c r="H84" t="s">
        <v>27</v>
      </c>
      <c r="I84" t="s">
        <v>101</v>
      </c>
      <c r="J84" t="s">
        <v>51</v>
      </c>
      <c r="K84" t="s">
        <v>313</v>
      </c>
      <c r="L84">
        <v>1</v>
      </c>
      <c r="M84">
        <v>31001</v>
      </c>
      <c r="N84">
        <v>31001</v>
      </c>
      <c r="O84">
        <v>10</v>
      </c>
      <c r="P84">
        <v>3100.1</v>
      </c>
      <c r="Q84">
        <v>27900.9</v>
      </c>
      <c r="R84" t="s">
        <v>43</v>
      </c>
      <c r="S84" t="s">
        <v>32</v>
      </c>
      <c r="T84">
        <v>27</v>
      </c>
      <c r="U84">
        <v>7533.2430000000004</v>
      </c>
    </row>
    <row r="85" spans="1:21" x14ac:dyDescent="0.25">
      <c r="A85" t="s">
        <v>314</v>
      </c>
      <c r="B85" s="8">
        <v>45941</v>
      </c>
      <c r="C85" t="s">
        <v>81</v>
      </c>
      <c r="D85" t="s">
        <v>315</v>
      </c>
      <c r="E85" t="s">
        <v>36</v>
      </c>
      <c r="F85" t="s">
        <v>49</v>
      </c>
      <c r="G85" t="s">
        <v>26</v>
      </c>
      <c r="H85" t="s">
        <v>27</v>
      </c>
      <c r="I85" t="s">
        <v>75</v>
      </c>
      <c r="J85" t="s">
        <v>67</v>
      </c>
      <c r="K85" t="s">
        <v>316</v>
      </c>
      <c r="L85">
        <v>3</v>
      </c>
      <c r="M85">
        <v>40877</v>
      </c>
      <c r="N85">
        <v>122631</v>
      </c>
      <c r="O85">
        <v>5</v>
      </c>
      <c r="P85">
        <v>6131.55</v>
      </c>
      <c r="Q85">
        <v>116499.45</v>
      </c>
      <c r="R85" t="s">
        <v>90</v>
      </c>
      <c r="S85" t="s">
        <v>32</v>
      </c>
      <c r="T85">
        <v>10</v>
      </c>
      <c r="U85">
        <v>11649.945</v>
      </c>
    </row>
    <row r="86" spans="1:21" x14ac:dyDescent="0.25">
      <c r="A86" t="s">
        <v>317</v>
      </c>
      <c r="B86" s="8">
        <v>45810</v>
      </c>
      <c r="C86" t="s">
        <v>81</v>
      </c>
      <c r="D86" t="s">
        <v>318</v>
      </c>
      <c r="E86" t="s">
        <v>73</v>
      </c>
      <c r="F86" t="s">
        <v>74</v>
      </c>
      <c r="G86" t="s">
        <v>38</v>
      </c>
      <c r="H86" t="s">
        <v>27</v>
      </c>
      <c r="I86" t="s">
        <v>50</v>
      </c>
      <c r="J86" t="s">
        <v>67</v>
      </c>
      <c r="K86" t="s">
        <v>319</v>
      </c>
      <c r="L86">
        <v>8</v>
      </c>
      <c r="M86">
        <v>42070</v>
      </c>
      <c r="N86">
        <v>336560</v>
      </c>
      <c r="O86">
        <v>5</v>
      </c>
      <c r="P86">
        <v>16828</v>
      </c>
      <c r="Q86">
        <v>319732</v>
      </c>
      <c r="R86" t="s">
        <v>31</v>
      </c>
      <c r="S86" t="s">
        <v>44</v>
      </c>
      <c r="T86">
        <v>13</v>
      </c>
      <c r="U86">
        <v>41565.160000000003</v>
      </c>
    </row>
    <row r="87" spans="1:21" x14ac:dyDescent="0.25">
      <c r="A87" t="s">
        <v>320</v>
      </c>
      <c r="B87" s="8">
        <v>45934</v>
      </c>
      <c r="C87" t="s">
        <v>81</v>
      </c>
      <c r="D87" t="s">
        <v>321</v>
      </c>
      <c r="E87" t="s">
        <v>24</v>
      </c>
      <c r="F87" t="s">
        <v>56</v>
      </c>
      <c r="G87" t="s">
        <v>66</v>
      </c>
      <c r="H87" t="s">
        <v>57</v>
      </c>
      <c r="I87" t="s">
        <v>101</v>
      </c>
      <c r="J87" t="s">
        <v>51</v>
      </c>
      <c r="K87" t="s">
        <v>322</v>
      </c>
      <c r="L87">
        <v>4</v>
      </c>
      <c r="M87">
        <v>45641</v>
      </c>
      <c r="N87">
        <v>182564</v>
      </c>
      <c r="O87">
        <v>15</v>
      </c>
      <c r="P87">
        <v>27384.6</v>
      </c>
      <c r="Q87">
        <v>155179.4</v>
      </c>
      <c r="R87" t="s">
        <v>53</v>
      </c>
      <c r="S87" t="s">
        <v>44</v>
      </c>
      <c r="T87">
        <v>9</v>
      </c>
      <c r="U87">
        <v>13966.146000000001</v>
      </c>
    </row>
    <row r="88" spans="1:21" x14ac:dyDescent="0.25">
      <c r="A88" t="s">
        <v>323</v>
      </c>
      <c r="B88" s="8">
        <v>45865</v>
      </c>
      <c r="C88" t="s">
        <v>92</v>
      </c>
      <c r="D88" t="s">
        <v>324</v>
      </c>
      <c r="E88" t="s">
        <v>73</v>
      </c>
      <c r="F88" t="s">
        <v>49</v>
      </c>
      <c r="G88" t="s">
        <v>38</v>
      </c>
      <c r="H88" t="s">
        <v>39</v>
      </c>
      <c r="I88" t="s">
        <v>88</v>
      </c>
      <c r="J88" t="s">
        <v>41</v>
      </c>
      <c r="K88" t="s">
        <v>325</v>
      </c>
      <c r="L88">
        <v>7</v>
      </c>
      <c r="M88">
        <v>13461</v>
      </c>
      <c r="N88">
        <v>94227</v>
      </c>
      <c r="O88">
        <v>0</v>
      </c>
      <c r="P88">
        <v>0</v>
      </c>
      <c r="Q88">
        <v>94227</v>
      </c>
      <c r="R88" t="s">
        <v>31</v>
      </c>
      <c r="S88" t="s">
        <v>69</v>
      </c>
      <c r="T88">
        <v>29</v>
      </c>
      <c r="U88">
        <v>27325.83</v>
      </c>
    </row>
    <row r="89" spans="1:21" x14ac:dyDescent="0.25">
      <c r="A89" t="s">
        <v>326</v>
      </c>
      <c r="B89" s="8">
        <v>45741</v>
      </c>
      <c r="C89" t="s">
        <v>147</v>
      </c>
      <c r="D89" t="s">
        <v>327</v>
      </c>
      <c r="E89" t="s">
        <v>73</v>
      </c>
      <c r="F89" t="s">
        <v>37</v>
      </c>
      <c r="G89" t="s">
        <v>38</v>
      </c>
      <c r="H89" t="s">
        <v>27</v>
      </c>
      <c r="I89" t="s">
        <v>28</v>
      </c>
      <c r="J89" t="s">
        <v>29</v>
      </c>
      <c r="K89" t="s">
        <v>328</v>
      </c>
      <c r="L89">
        <v>1</v>
      </c>
      <c r="M89">
        <v>19919</v>
      </c>
      <c r="N89">
        <v>19919</v>
      </c>
      <c r="O89">
        <v>5</v>
      </c>
      <c r="P89">
        <v>995.95</v>
      </c>
      <c r="Q89">
        <v>18923.05</v>
      </c>
      <c r="R89" t="s">
        <v>90</v>
      </c>
      <c r="S89" t="s">
        <v>32</v>
      </c>
      <c r="T89">
        <v>17</v>
      </c>
      <c r="U89">
        <v>3216.9185000000002</v>
      </c>
    </row>
    <row r="90" spans="1:21" x14ac:dyDescent="0.25">
      <c r="A90" t="s">
        <v>329</v>
      </c>
      <c r="B90" s="8">
        <v>45732</v>
      </c>
      <c r="C90" t="s">
        <v>34</v>
      </c>
      <c r="D90" t="s">
        <v>330</v>
      </c>
      <c r="E90" t="s">
        <v>36</v>
      </c>
      <c r="F90" t="s">
        <v>94</v>
      </c>
      <c r="G90" t="s">
        <v>26</v>
      </c>
      <c r="H90" t="s">
        <v>39</v>
      </c>
      <c r="I90" t="s">
        <v>75</v>
      </c>
      <c r="J90" t="s">
        <v>41</v>
      </c>
      <c r="K90" t="s">
        <v>331</v>
      </c>
      <c r="L90">
        <v>3</v>
      </c>
      <c r="M90">
        <v>49911</v>
      </c>
      <c r="N90">
        <v>149733</v>
      </c>
      <c r="O90">
        <v>0</v>
      </c>
      <c r="P90">
        <v>0</v>
      </c>
      <c r="Q90">
        <v>149733</v>
      </c>
      <c r="R90" t="s">
        <v>43</v>
      </c>
      <c r="S90" t="s">
        <v>69</v>
      </c>
      <c r="T90">
        <v>9</v>
      </c>
      <c r="U90">
        <v>13475.97</v>
      </c>
    </row>
    <row r="91" spans="1:21" x14ac:dyDescent="0.25">
      <c r="A91" t="s">
        <v>332</v>
      </c>
      <c r="B91" s="8">
        <v>45969</v>
      </c>
      <c r="C91" t="s">
        <v>22</v>
      </c>
      <c r="D91" t="s">
        <v>333</v>
      </c>
      <c r="E91" t="s">
        <v>36</v>
      </c>
      <c r="F91" t="s">
        <v>94</v>
      </c>
      <c r="G91" t="s">
        <v>38</v>
      </c>
      <c r="H91" t="s">
        <v>57</v>
      </c>
      <c r="I91" t="s">
        <v>101</v>
      </c>
      <c r="J91" t="s">
        <v>29</v>
      </c>
      <c r="K91" t="s">
        <v>334</v>
      </c>
      <c r="L91">
        <v>4</v>
      </c>
      <c r="M91">
        <v>1506</v>
      </c>
      <c r="N91">
        <v>6024</v>
      </c>
      <c r="O91">
        <v>10</v>
      </c>
      <c r="P91">
        <v>602.4</v>
      </c>
      <c r="Q91">
        <v>5421.6</v>
      </c>
      <c r="R91" t="s">
        <v>43</v>
      </c>
      <c r="S91" t="s">
        <v>32</v>
      </c>
      <c r="T91">
        <v>24</v>
      </c>
      <c r="U91">
        <v>1301.184</v>
      </c>
    </row>
    <row r="92" spans="1:21" x14ac:dyDescent="0.25">
      <c r="A92" t="s">
        <v>335</v>
      </c>
      <c r="B92" s="8">
        <v>45856</v>
      </c>
      <c r="C92" t="s">
        <v>63</v>
      </c>
      <c r="D92" t="s">
        <v>336</v>
      </c>
      <c r="E92" t="s">
        <v>24</v>
      </c>
      <c r="F92" t="s">
        <v>37</v>
      </c>
      <c r="G92" t="s">
        <v>38</v>
      </c>
      <c r="H92" t="s">
        <v>27</v>
      </c>
      <c r="I92" t="s">
        <v>101</v>
      </c>
      <c r="J92" t="s">
        <v>117</v>
      </c>
      <c r="K92" t="s">
        <v>337</v>
      </c>
      <c r="L92">
        <v>8</v>
      </c>
      <c r="M92">
        <v>40862</v>
      </c>
      <c r="N92">
        <v>326896</v>
      </c>
      <c r="O92">
        <v>10</v>
      </c>
      <c r="P92">
        <v>32689.599999999999</v>
      </c>
      <c r="Q92">
        <v>294206.40000000002</v>
      </c>
      <c r="R92" t="s">
        <v>43</v>
      </c>
      <c r="S92" t="s">
        <v>32</v>
      </c>
      <c r="T92">
        <v>10</v>
      </c>
      <c r="U92">
        <v>29420.639999999999</v>
      </c>
    </row>
    <row r="93" spans="1:21" x14ac:dyDescent="0.25">
      <c r="A93" t="s">
        <v>338</v>
      </c>
      <c r="B93" s="8">
        <v>45797</v>
      </c>
      <c r="C93" t="s">
        <v>71</v>
      </c>
      <c r="D93" t="s">
        <v>339</v>
      </c>
      <c r="E93" t="s">
        <v>36</v>
      </c>
      <c r="F93" t="s">
        <v>37</v>
      </c>
      <c r="G93" t="s">
        <v>66</v>
      </c>
      <c r="H93" t="s">
        <v>57</v>
      </c>
      <c r="I93" t="s">
        <v>88</v>
      </c>
      <c r="J93" t="s">
        <v>117</v>
      </c>
      <c r="K93" t="s">
        <v>340</v>
      </c>
      <c r="L93">
        <v>7</v>
      </c>
      <c r="M93">
        <v>11446</v>
      </c>
      <c r="N93">
        <v>80122</v>
      </c>
      <c r="O93">
        <v>15</v>
      </c>
      <c r="P93">
        <v>12018.3</v>
      </c>
      <c r="Q93">
        <v>68103.7</v>
      </c>
      <c r="R93" t="s">
        <v>90</v>
      </c>
      <c r="S93" t="s">
        <v>32</v>
      </c>
      <c r="T93">
        <v>22</v>
      </c>
      <c r="U93">
        <v>14982.814</v>
      </c>
    </row>
    <row r="94" spans="1:21" x14ac:dyDescent="0.25">
      <c r="A94" t="s">
        <v>341</v>
      </c>
      <c r="B94" s="8">
        <v>45667</v>
      </c>
      <c r="C94" t="s">
        <v>147</v>
      </c>
      <c r="D94" t="s">
        <v>342</v>
      </c>
      <c r="E94" t="s">
        <v>48</v>
      </c>
      <c r="F94" t="s">
        <v>49</v>
      </c>
      <c r="G94" t="s">
        <v>26</v>
      </c>
      <c r="H94" t="s">
        <v>27</v>
      </c>
      <c r="I94" t="s">
        <v>88</v>
      </c>
      <c r="J94" t="s">
        <v>41</v>
      </c>
      <c r="K94" t="s">
        <v>343</v>
      </c>
      <c r="L94">
        <v>3</v>
      </c>
      <c r="M94">
        <v>3964</v>
      </c>
      <c r="N94">
        <v>11892</v>
      </c>
      <c r="O94">
        <v>20</v>
      </c>
      <c r="P94">
        <v>2378.4</v>
      </c>
      <c r="Q94">
        <v>9513.6</v>
      </c>
      <c r="R94" t="s">
        <v>90</v>
      </c>
      <c r="S94" t="s">
        <v>32</v>
      </c>
      <c r="T94">
        <v>21</v>
      </c>
      <c r="U94">
        <v>1997.856</v>
      </c>
    </row>
    <row r="95" spans="1:21" x14ac:dyDescent="0.25">
      <c r="A95" t="s">
        <v>344</v>
      </c>
      <c r="B95" s="8">
        <v>45859</v>
      </c>
      <c r="C95" t="s">
        <v>34</v>
      </c>
      <c r="D95" t="s">
        <v>345</v>
      </c>
      <c r="E95" t="s">
        <v>36</v>
      </c>
      <c r="F95" t="s">
        <v>83</v>
      </c>
      <c r="G95" t="s">
        <v>66</v>
      </c>
      <c r="H95" t="s">
        <v>57</v>
      </c>
      <c r="I95" t="s">
        <v>28</v>
      </c>
      <c r="J95" t="s">
        <v>117</v>
      </c>
      <c r="K95" t="s">
        <v>346</v>
      </c>
      <c r="L95">
        <v>5</v>
      </c>
      <c r="M95">
        <v>48174</v>
      </c>
      <c r="N95">
        <v>240870</v>
      </c>
      <c r="O95">
        <v>5</v>
      </c>
      <c r="P95">
        <v>12043.5</v>
      </c>
      <c r="Q95">
        <v>228826.5</v>
      </c>
      <c r="R95" t="s">
        <v>43</v>
      </c>
      <c r="S95" t="s">
        <v>44</v>
      </c>
      <c r="T95">
        <v>20</v>
      </c>
      <c r="U95">
        <v>45765.3</v>
      </c>
    </row>
    <row r="96" spans="1:21" x14ac:dyDescent="0.25">
      <c r="A96" t="s">
        <v>347</v>
      </c>
      <c r="B96" s="8">
        <v>46005</v>
      </c>
      <c r="C96" t="s">
        <v>147</v>
      </c>
      <c r="D96" t="s">
        <v>348</v>
      </c>
      <c r="E96" t="s">
        <v>36</v>
      </c>
      <c r="F96" t="s">
        <v>94</v>
      </c>
      <c r="G96" t="s">
        <v>38</v>
      </c>
      <c r="H96" t="s">
        <v>57</v>
      </c>
      <c r="I96" t="s">
        <v>28</v>
      </c>
      <c r="J96" t="s">
        <v>41</v>
      </c>
      <c r="K96" t="s">
        <v>349</v>
      </c>
      <c r="L96">
        <v>5</v>
      </c>
      <c r="M96">
        <v>48814</v>
      </c>
      <c r="N96">
        <v>244070</v>
      </c>
      <c r="O96">
        <v>0</v>
      </c>
      <c r="P96">
        <v>0</v>
      </c>
      <c r="Q96">
        <v>244070</v>
      </c>
      <c r="R96" t="s">
        <v>90</v>
      </c>
      <c r="S96" t="s">
        <v>32</v>
      </c>
      <c r="T96">
        <v>13</v>
      </c>
      <c r="U96">
        <v>31729.1</v>
      </c>
    </row>
    <row r="97" spans="1:21" x14ac:dyDescent="0.25">
      <c r="A97" t="s">
        <v>350</v>
      </c>
      <c r="B97" s="8">
        <v>45898</v>
      </c>
      <c r="C97" t="s">
        <v>34</v>
      </c>
      <c r="D97" t="s">
        <v>351</v>
      </c>
      <c r="E97" t="s">
        <v>73</v>
      </c>
      <c r="F97" t="s">
        <v>94</v>
      </c>
      <c r="G97" t="s">
        <v>26</v>
      </c>
      <c r="H97" t="s">
        <v>27</v>
      </c>
      <c r="I97" t="s">
        <v>40</v>
      </c>
      <c r="J97" t="s">
        <v>29</v>
      </c>
      <c r="K97" t="s">
        <v>352</v>
      </c>
      <c r="L97">
        <v>8</v>
      </c>
      <c r="M97">
        <v>29325</v>
      </c>
      <c r="N97">
        <v>234600</v>
      </c>
      <c r="O97">
        <v>5</v>
      </c>
      <c r="P97">
        <v>11730</v>
      </c>
      <c r="Q97">
        <v>222870</v>
      </c>
      <c r="R97" t="s">
        <v>53</v>
      </c>
      <c r="S97" t="s">
        <v>32</v>
      </c>
      <c r="T97">
        <v>11</v>
      </c>
      <c r="U97">
        <v>24515.7</v>
      </c>
    </row>
    <row r="98" spans="1:21" x14ac:dyDescent="0.25">
      <c r="A98" t="s">
        <v>353</v>
      </c>
      <c r="B98" s="8">
        <v>45921</v>
      </c>
      <c r="C98" t="s">
        <v>92</v>
      </c>
      <c r="D98" t="s">
        <v>354</v>
      </c>
      <c r="E98" t="s">
        <v>24</v>
      </c>
      <c r="F98" t="s">
        <v>74</v>
      </c>
      <c r="G98" t="s">
        <v>38</v>
      </c>
      <c r="H98" t="s">
        <v>27</v>
      </c>
      <c r="I98" t="s">
        <v>88</v>
      </c>
      <c r="J98" t="s">
        <v>51</v>
      </c>
      <c r="K98" t="s">
        <v>355</v>
      </c>
      <c r="L98">
        <v>1</v>
      </c>
      <c r="M98">
        <v>27172</v>
      </c>
      <c r="N98">
        <v>27172</v>
      </c>
      <c r="O98">
        <v>15</v>
      </c>
      <c r="P98">
        <v>4075.8</v>
      </c>
      <c r="Q98">
        <v>23096.2</v>
      </c>
      <c r="R98" t="s">
        <v>53</v>
      </c>
      <c r="S98" t="s">
        <v>44</v>
      </c>
      <c r="T98">
        <v>10</v>
      </c>
      <c r="U98">
        <v>2309.62</v>
      </c>
    </row>
    <row r="99" spans="1:21" x14ac:dyDescent="0.25">
      <c r="A99" t="s">
        <v>356</v>
      </c>
      <c r="B99" s="8">
        <v>45933</v>
      </c>
      <c r="C99" t="s">
        <v>71</v>
      </c>
      <c r="D99" t="s">
        <v>357</v>
      </c>
      <c r="E99" t="s">
        <v>24</v>
      </c>
      <c r="F99" t="s">
        <v>49</v>
      </c>
      <c r="G99" t="s">
        <v>26</v>
      </c>
      <c r="H99" t="s">
        <v>27</v>
      </c>
      <c r="I99" t="s">
        <v>40</v>
      </c>
      <c r="J99" t="s">
        <v>78</v>
      </c>
      <c r="K99" t="s">
        <v>358</v>
      </c>
      <c r="L99">
        <v>5</v>
      </c>
      <c r="M99">
        <v>16821</v>
      </c>
      <c r="N99">
        <v>84105</v>
      </c>
      <c r="O99">
        <v>5</v>
      </c>
      <c r="P99">
        <v>4205.25</v>
      </c>
      <c r="Q99">
        <v>79899.75</v>
      </c>
      <c r="R99" t="s">
        <v>43</v>
      </c>
      <c r="S99" t="s">
        <v>69</v>
      </c>
      <c r="T99">
        <v>23</v>
      </c>
      <c r="U99">
        <v>18376.942500000001</v>
      </c>
    </row>
    <row r="100" spans="1:21" x14ac:dyDescent="0.25">
      <c r="A100" t="s">
        <v>359</v>
      </c>
      <c r="B100" s="8">
        <v>45809</v>
      </c>
      <c r="C100" t="s">
        <v>22</v>
      </c>
      <c r="D100" t="s">
        <v>360</v>
      </c>
      <c r="E100" t="s">
        <v>24</v>
      </c>
      <c r="F100" t="s">
        <v>83</v>
      </c>
      <c r="G100" t="s">
        <v>26</v>
      </c>
      <c r="H100" t="s">
        <v>57</v>
      </c>
      <c r="I100" t="s">
        <v>28</v>
      </c>
      <c r="J100" t="s">
        <v>51</v>
      </c>
      <c r="K100" t="s">
        <v>361</v>
      </c>
      <c r="L100">
        <v>8</v>
      </c>
      <c r="M100">
        <v>41471</v>
      </c>
      <c r="N100">
        <v>331768</v>
      </c>
      <c r="O100">
        <v>0</v>
      </c>
      <c r="P100">
        <v>0</v>
      </c>
      <c r="Q100">
        <v>331768</v>
      </c>
      <c r="R100" t="s">
        <v>53</v>
      </c>
      <c r="S100" t="s">
        <v>32</v>
      </c>
      <c r="T100">
        <v>8</v>
      </c>
      <c r="U100">
        <v>26541.439999999999</v>
      </c>
    </row>
    <row r="101" spans="1:21" x14ac:dyDescent="0.25">
      <c r="A101" t="s">
        <v>362</v>
      </c>
      <c r="B101" s="8">
        <v>45922</v>
      </c>
      <c r="C101" t="s">
        <v>46</v>
      </c>
      <c r="D101" t="s">
        <v>363</v>
      </c>
      <c r="E101" t="s">
        <v>48</v>
      </c>
      <c r="F101" t="s">
        <v>37</v>
      </c>
      <c r="G101" t="s">
        <v>38</v>
      </c>
      <c r="H101" t="s">
        <v>27</v>
      </c>
      <c r="I101" t="s">
        <v>50</v>
      </c>
      <c r="J101" t="s">
        <v>117</v>
      </c>
      <c r="K101" t="s">
        <v>364</v>
      </c>
      <c r="L101">
        <v>8</v>
      </c>
      <c r="M101">
        <v>10331</v>
      </c>
      <c r="N101">
        <v>82648</v>
      </c>
      <c r="O101">
        <v>15</v>
      </c>
      <c r="P101">
        <v>12397.2</v>
      </c>
      <c r="Q101">
        <v>70250.8</v>
      </c>
      <c r="R101" t="s">
        <v>31</v>
      </c>
      <c r="S101" t="s">
        <v>44</v>
      </c>
      <c r="T101">
        <v>6</v>
      </c>
      <c r="U101">
        <v>4215.0480000000007</v>
      </c>
    </row>
    <row r="102" spans="1:21" x14ac:dyDescent="0.25">
      <c r="A102" t="s">
        <v>365</v>
      </c>
      <c r="B102" s="8">
        <v>45669</v>
      </c>
      <c r="C102" t="s">
        <v>22</v>
      </c>
      <c r="D102" t="s">
        <v>157</v>
      </c>
      <c r="E102" t="s">
        <v>73</v>
      </c>
      <c r="F102" t="s">
        <v>94</v>
      </c>
      <c r="G102" t="s">
        <v>66</v>
      </c>
      <c r="H102" t="s">
        <v>27</v>
      </c>
      <c r="I102" t="s">
        <v>28</v>
      </c>
      <c r="J102" t="s">
        <v>117</v>
      </c>
      <c r="K102" t="s">
        <v>366</v>
      </c>
      <c r="L102">
        <v>6</v>
      </c>
      <c r="M102">
        <v>7966</v>
      </c>
      <c r="N102">
        <v>47796</v>
      </c>
      <c r="O102">
        <v>15</v>
      </c>
      <c r="P102">
        <v>7169.4</v>
      </c>
      <c r="Q102">
        <v>40626.6</v>
      </c>
      <c r="R102" t="s">
        <v>43</v>
      </c>
      <c r="S102" t="s">
        <v>32</v>
      </c>
      <c r="T102">
        <v>22</v>
      </c>
      <c r="U102">
        <v>8937.851999999999</v>
      </c>
    </row>
    <row r="103" spans="1:21" x14ac:dyDescent="0.25">
      <c r="A103" t="s">
        <v>367</v>
      </c>
      <c r="B103" s="8">
        <v>45682</v>
      </c>
      <c r="C103" t="s">
        <v>81</v>
      </c>
      <c r="D103" t="s">
        <v>368</v>
      </c>
      <c r="E103" t="s">
        <v>24</v>
      </c>
      <c r="F103" t="s">
        <v>49</v>
      </c>
      <c r="G103" t="s">
        <v>26</v>
      </c>
      <c r="H103" t="s">
        <v>27</v>
      </c>
      <c r="I103" t="s">
        <v>50</v>
      </c>
      <c r="J103" t="s">
        <v>67</v>
      </c>
      <c r="K103" t="s">
        <v>369</v>
      </c>
      <c r="L103">
        <v>3</v>
      </c>
      <c r="M103">
        <v>28922</v>
      </c>
      <c r="N103">
        <v>86766</v>
      </c>
      <c r="O103">
        <v>15</v>
      </c>
      <c r="P103">
        <v>13014.9</v>
      </c>
      <c r="Q103">
        <v>73751.100000000006</v>
      </c>
      <c r="R103" t="s">
        <v>53</v>
      </c>
      <c r="S103" t="s">
        <v>44</v>
      </c>
      <c r="T103">
        <v>5</v>
      </c>
      <c r="U103">
        <v>3687.5549999999998</v>
      </c>
    </row>
    <row r="104" spans="1:21" x14ac:dyDescent="0.25">
      <c r="A104" t="s">
        <v>370</v>
      </c>
      <c r="B104" s="8">
        <v>45993</v>
      </c>
      <c r="C104" t="s">
        <v>34</v>
      </c>
      <c r="D104" t="s">
        <v>371</v>
      </c>
      <c r="E104" t="s">
        <v>36</v>
      </c>
      <c r="F104" t="s">
        <v>65</v>
      </c>
      <c r="G104" t="s">
        <v>38</v>
      </c>
      <c r="H104" t="s">
        <v>39</v>
      </c>
      <c r="I104" t="s">
        <v>88</v>
      </c>
      <c r="J104" t="s">
        <v>51</v>
      </c>
      <c r="K104" t="s">
        <v>372</v>
      </c>
      <c r="L104">
        <v>10</v>
      </c>
      <c r="M104">
        <v>18733</v>
      </c>
      <c r="N104">
        <v>187330</v>
      </c>
      <c r="O104">
        <v>20</v>
      </c>
      <c r="P104">
        <v>37466</v>
      </c>
      <c r="Q104">
        <v>149864</v>
      </c>
      <c r="R104" t="s">
        <v>43</v>
      </c>
      <c r="S104" t="s">
        <v>32</v>
      </c>
      <c r="T104">
        <v>28</v>
      </c>
      <c r="U104">
        <v>41961.919999999998</v>
      </c>
    </row>
    <row r="105" spans="1:21" x14ac:dyDescent="0.25">
      <c r="A105" t="s">
        <v>373</v>
      </c>
      <c r="B105" s="8">
        <v>45801</v>
      </c>
      <c r="C105" t="s">
        <v>46</v>
      </c>
      <c r="D105" t="s">
        <v>374</v>
      </c>
      <c r="E105" t="s">
        <v>24</v>
      </c>
      <c r="F105" t="s">
        <v>94</v>
      </c>
      <c r="G105" t="s">
        <v>66</v>
      </c>
      <c r="H105" t="s">
        <v>39</v>
      </c>
      <c r="I105" t="s">
        <v>88</v>
      </c>
      <c r="J105" t="s">
        <v>41</v>
      </c>
      <c r="K105" t="s">
        <v>375</v>
      </c>
      <c r="L105">
        <v>4</v>
      </c>
      <c r="M105">
        <v>14655</v>
      </c>
      <c r="N105">
        <v>58620</v>
      </c>
      <c r="O105">
        <v>10</v>
      </c>
      <c r="P105">
        <v>5862</v>
      </c>
      <c r="Q105">
        <v>52758</v>
      </c>
      <c r="R105" t="s">
        <v>90</v>
      </c>
      <c r="S105" t="s">
        <v>69</v>
      </c>
      <c r="T105">
        <v>29</v>
      </c>
      <c r="U105">
        <v>15299.82</v>
      </c>
    </row>
    <row r="106" spans="1:21" x14ac:dyDescent="0.25">
      <c r="A106" t="s">
        <v>376</v>
      </c>
      <c r="B106" s="8">
        <v>45680</v>
      </c>
      <c r="C106" t="s">
        <v>120</v>
      </c>
      <c r="D106" t="s">
        <v>377</v>
      </c>
      <c r="E106" t="s">
        <v>36</v>
      </c>
      <c r="F106" t="s">
        <v>49</v>
      </c>
      <c r="G106" t="s">
        <v>66</v>
      </c>
      <c r="H106" t="s">
        <v>27</v>
      </c>
      <c r="I106" t="s">
        <v>50</v>
      </c>
      <c r="J106" t="s">
        <v>117</v>
      </c>
      <c r="K106" t="s">
        <v>378</v>
      </c>
      <c r="L106">
        <v>9</v>
      </c>
      <c r="M106">
        <v>28485</v>
      </c>
      <c r="N106">
        <v>256365</v>
      </c>
      <c r="O106">
        <v>10</v>
      </c>
      <c r="P106">
        <v>25636.5</v>
      </c>
      <c r="Q106">
        <v>230728.5</v>
      </c>
      <c r="R106" t="s">
        <v>90</v>
      </c>
      <c r="S106" t="s">
        <v>69</v>
      </c>
      <c r="T106">
        <v>13</v>
      </c>
      <c r="U106">
        <v>29994.705000000002</v>
      </c>
    </row>
    <row r="107" spans="1:21" x14ac:dyDescent="0.25">
      <c r="A107" t="s">
        <v>379</v>
      </c>
      <c r="B107" s="8">
        <v>45785</v>
      </c>
      <c r="C107" t="s">
        <v>86</v>
      </c>
      <c r="D107" t="s">
        <v>377</v>
      </c>
      <c r="E107" t="s">
        <v>24</v>
      </c>
      <c r="F107" t="s">
        <v>74</v>
      </c>
      <c r="G107" t="s">
        <v>66</v>
      </c>
      <c r="H107" t="s">
        <v>27</v>
      </c>
      <c r="I107" t="s">
        <v>101</v>
      </c>
      <c r="J107" t="s">
        <v>29</v>
      </c>
      <c r="K107" t="s">
        <v>380</v>
      </c>
      <c r="L107">
        <v>10</v>
      </c>
      <c r="M107">
        <v>30058</v>
      </c>
      <c r="N107">
        <v>300580</v>
      </c>
      <c r="O107">
        <v>5</v>
      </c>
      <c r="P107">
        <v>15029</v>
      </c>
      <c r="Q107">
        <v>285551</v>
      </c>
      <c r="R107" t="s">
        <v>43</v>
      </c>
      <c r="S107" t="s">
        <v>32</v>
      </c>
      <c r="T107">
        <v>11</v>
      </c>
      <c r="U107">
        <v>31410.61</v>
      </c>
    </row>
    <row r="108" spans="1:21" x14ac:dyDescent="0.25">
      <c r="A108" t="s">
        <v>381</v>
      </c>
      <c r="B108" s="8">
        <v>45668</v>
      </c>
      <c r="C108" t="s">
        <v>22</v>
      </c>
      <c r="D108" t="s">
        <v>303</v>
      </c>
      <c r="E108" t="s">
        <v>48</v>
      </c>
      <c r="F108" t="s">
        <v>94</v>
      </c>
      <c r="G108" t="s">
        <v>38</v>
      </c>
      <c r="H108" t="s">
        <v>57</v>
      </c>
      <c r="I108" t="s">
        <v>28</v>
      </c>
      <c r="J108" t="s">
        <v>29</v>
      </c>
      <c r="K108" t="s">
        <v>382</v>
      </c>
      <c r="L108">
        <v>8</v>
      </c>
      <c r="M108">
        <v>810</v>
      </c>
      <c r="N108">
        <v>6480</v>
      </c>
      <c r="O108">
        <v>20</v>
      </c>
      <c r="P108">
        <v>1296</v>
      </c>
      <c r="Q108">
        <v>5184</v>
      </c>
      <c r="R108" t="s">
        <v>43</v>
      </c>
      <c r="S108" t="s">
        <v>32</v>
      </c>
      <c r="T108">
        <v>30</v>
      </c>
      <c r="U108">
        <v>1555.2</v>
      </c>
    </row>
    <row r="109" spans="1:21" x14ac:dyDescent="0.25">
      <c r="A109" t="s">
        <v>383</v>
      </c>
      <c r="B109" s="8">
        <v>45950</v>
      </c>
      <c r="C109" t="s">
        <v>34</v>
      </c>
      <c r="D109" t="s">
        <v>297</v>
      </c>
      <c r="E109" t="s">
        <v>48</v>
      </c>
      <c r="F109" t="s">
        <v>65</v>
      </c>
      <c r="G109" t="s">
        <v>66</v>
      </c>
      <c r="H109" t="s">
        <v>27</v>
      </c>
      <c r="I109" t="s">
        <v>101</v>
      </c>
      <c r="J109" t="s">
        <v>41</v>
      </c>
      <c r="K109" t="s">
        <v>384</v>
      </c>
      <c r="L109">
        <v>6</v>
      </c>
      <c r="M109">
        <v>4440</v>
      </c>
      <c r="N109">
        <v>26640</v>
      </c>
      <c r="O109">
        <v>10</v>
      </c>
      <c r="P109">
        <v>2664</v>
      </c>
      <c r="Q109">
        <v>23976</v>
      </c>
      <c r="R109" t="s">
        <v>53</v>
      </c>
      <c r="S109" t="s">
        <v>69</v>
      </c>
      <c r="T109">
        <v>20</v>
      </c>
      <c r="U109">
        <v>4795.2</v>
      </c>
    </row>
    <row r="110" spans="1:21" x14ac:dyDescent="0.25">
      <c r="A110" t="s">
        <v>385</v>
      </c>
      <c r="B110" s="8">
        <v>45821</v>
      </c>
      <c r="C110" t="s">
        <v>92</v>
      </c>
      <c r="D110" t="s">
        <v>386</v>
      </c>
      <c r="E110" t="s">
        <v>73</v>
      </c>
      <c r="F110" t="s">
        <v>37</v>
      </c>
      <c r="G110" t="s">
        <v>26</v>
      </c>
      <c r="H110" t="s">
        <v>39</v>
      </c>
      <c r="I110" t="s">
        <v>28</v>
      </c>
      <c r="J110" t="s">
        <v>51</v>
      </c>
      <c r="K110" t="s">
        <v>387</v>
      </c>
      <c r="L110">
        <v>8</v>
      </c>
      <c r="M110">
        <v>7970</v>
      </c>
      <c r="N110">
        <v>63760</v>
      </c>
      <c r="O110">
        <v>15</v>
      </c>
      <c r="P110">
        <v>9564</v>
      </c>
      <c r="Q110">
        <v>54196</v>
      </c>
      <c r="R110" t="s">
        <v>43</v>
      </c>
      <c r="S110" t="s">
        <v>69</v>
      </c>
      <c r="T110">
        <v>9</v>
      </c>
      <c r="U110">
        <v>4877.6400000000003</v>
      </c>
    </row>
    <row r="111" spans="1:21" x14ac:dyDescent="0.25">
      <c r="A111" t="s">
        <v>388</v>
      </c>
      <c r="B111" s="8">
        <v>45686</v>
      </c>
      <c r="C111" t="s">
        <v>63</v>
      </c>
      <c r="D111" t="s">
        <v>389</v>
      </c>
      <c r="E111" t="s">
        <v>48</v>
      </c>
      <c r="F111" t="s">
        <v>49</v>
      </c>
      <c r="G111" t="s">
        <v>38</v>
      </c>
      <c r="H111" t="s">
        <v>57</v>
      </c>
      <c r="I111" t="s">
        <v>50</v>
      </c>
      <c r="J111" t="s">
        <v>51</v>
      </c>
      <c r="K111" t="s">
        <v>390</v>
      </c>
      <c r="L111">
        <v>1</v>
      </c>
      <c r="M111">
        <v>27814</v>
      </c>
      <c r="N111">
        <v>27814</v>
      </c>
      <c r="O111">
        <v>5</v>
      </c>
      <c r="P111">
        <v>1390.7</v>
      </c>
      <c r="Q111">
        <v>26423.3</v>
      </c>
      <c r="R111" t="s">
        <v>31</v>
      </c>
      <c r="S111" t="s">
        <v>44</v>
      </c>
      <c r="T111">
        <v>16</v>
      </c>
      <c r="U111">
        <v>4227.7280000000001</v>
      </c>
    </row>
    <row r="112" spans="1:21" x14ac:dyDescent="0.25">
      <c r="A112" t="s">
        <v>391</v>
      </c>
      <c r="B112" s="8">
        <v>45926</v>
      </c>
      <c r="C112" t="s">
        <v>46</v>
      </c>
      <c r="D112" t="s">
        <v>392</v>
      </c>
      <c r="E112" t="s">
        <v>36</v>
      </c>
      <c r="F112" t="s">
        <v>49</v>
      </c>
      <c r="G112" t="s">
        <v>66</v>
      </c>
      <c r="H112" t="s">
        <v>27</v>
      </c>
      <c r="I112" t="s">
        <v>50</v>
      </c>
      <c r="J112" t="s">
        <v>67</v>
      </c>
      <c r="K112" t="s">
        <v>393</v>
      </c>
      <c r="L112">
        <v>1</v>
      </c>
      <c r="M112">
        <v>28955</v>
      </c>
      <c r="N112">
        <v>28955</v>
      </c>
      <c r="O112">
        <v>5</v>
      </c>
      <c r="P112">
        <v>1447.75</v>
      </c>
      <c r="Q112">
        <v>27507.25</v>
      </c>
      <c r="R112" t="s">
        <v>31</v>
      </c>
      <c r="S112" t="s">
        <v>32</v>
      </c>
      <c r="T112">
        <v>15</v>
      </c>
      <c r="U112">
        <v>4126.0874999999996</v>
      </c>
    </row>
    <row r="113" spans="1:21" x14ac:dyDescent="0.25">
      <c r="A113" t="s">
        <v>394</v>
      </c>
      <c r="B113" s="8">
        <v>45779</v>
      </c>
      <c r="C113" t="s">
        <v>147</v>
      </c>
      <c r="D113" t="s">
        <v>395</v>
      </c>
      <c r="E113" t="s">
        <v>73</v>
      </c>
      <c r="F113" t="s">
        <v>37</v>
      </c>
      <c r="G113" t="s">
        <v>26</v>
      </c>
      <c r="H113" t="s">
        <v>27</v>
      </c>
      <c r="I113" t="s">
        <v>50</v>
      </c>
      <c r="J113" t="s">
        <v>41</v>
      </c>
      <c r="K113" t="s">
        <v>396</v>
      </c>
      <c r="L113">
        <v>8</v>
      </c>
      <c r="M113">
        <v>12101</v>
      </c>
      <c r="N113">
        <v>96808</v>
      </c>
      <c r="O113">
        <v>10</v>
      </c>
      <c r="P113">
        <v>9680.7999999999993</v>
      </c>
      <c r="Q113">
        <v>87127.2</v>
      </c>
      <c r="R113" t="s">
        <v>53</v>
      </c>
      <c r="S113" t="s">
        <v>32</v>
      </c>
      <c r="T113">
        <v>15</v>
      </c>
      <c r="U113">
        <v>13069.08</v>
      </c>
    </row>
    <row r="114" spans="1:21" x14ac:dyDescent="0.25">
      <c r="A114" t="s">
        <v>397</v>
      </c>
      <c r="B114" s="8">
        <v>45742</v>
      </c>
      <c r="C114" t="s">
        <v>34</v>
      </c>
      <c r="D114" t="s">
        <v>398</v>
      </c>
      <c r="E114" t="s">
        <v>48</v>
      </c>
      <c r="F114" t="s">
        <v>49</v>
      </c>
      <c r="G114" t="s">
        <v>38</v>
      </c>
      <c r="H114" t="s">
        <v>39</v>
      </c>
      <c r="I114" t="s">
        <v>50</v>
      </c>
      <c r="J114" t="s">
        <v>67</v>
      </c>
      <c r="K114" t="s">
        <v>301</v>
      </c>
      <c r="L114">
        <v>2</v>
      </c>
      <c r="M114">
        <v>37929</v>
      </c>
      <c r="N114">
        <v>75858</v>
      </c>
      <c r="O114">
        <v>0</v>
      </c>
      <c r="P114">
        <v>0</v>
      </c>
      <c r="Q114">
        <v>75858</v>
      </c>
      <c r="R114" t="s">
        <v>43</v>
      </c>
      <c r="S114" t="s">
        <v>69</v>
      </c>
      <c r="T114">
        <v>27</v>
      </c>
      <c r="U114">
        <v>20481.66</v>
      </c>
    </row>
    <row r="115" spans="1:21" x14ac:dyDescent="0.25">
      <c r="A115" t="s">
        <v>399</v>
      </c>
      <c r="B115" s="8">
        <v>45689</v>
      </c>
      <c r="C115" t="s">
        <v>92</v>
      </c>
      <c r="D115" t="s">
        <v>400</v>
      </c>
      <c r="E115" t="s">
        <v>73</v>
      </c>
      <c r="F115" t="s">
        <v>83</v>
      </c>
      <c r="G115" t="s">
        <v>26</v>
      </c>
      <c r="H115" t="s">
        <v>39</v>
      </c>
      <c r="I115" t="s">
        <v>101</v>
      </c>
      <c r="J115" t="s">
        <v>41</v>
      </c>
      <c r="K115" t="s">
        <v>401</v>
      </c>
      <c r="L115">
        <v>3</v>
      </c>
      <c r="M115">
        <v>27206</v>
      </c>
      <c r="N115">
        <v>81618</v>
      </c>
      <c r="O115">
        <v>0</v>
      </c>
      <c r="P115">
        <v>0</v>
      </c>
      <c r="Q115">
        <v>81618</v>
      </c>
      <c r="R115" t="s">
        <v>31</v>
      </c>
      <c r="S115" t="s">
        <v>44</v>
      </c>
      <c r="T115">
        <v>22</v>
      </c>
      <c r="U115">
        <v>17955.96</v>
      </c>
    </row>
    <row r="116" spans="1:21" x14ac:dyDescent="0.25">
      <c r="A116" t="s">
        <v>402</v>
      </c>
      <c r="B116" s="8">
        <v>45936</v>
      </c>
      <c r="C116" t="s">
        <v>46</v>
      </c>
      <c r="D116" t="s">
        <v>403</v>
      </c>
      <c r="E116" t="s">
        <v>48</v>
      </c>
      <c r="F116" t="s">
        <v>83</v>
      </c>
      <c r="G116" t="s">
        <v>66</v>
      </c>
      <c r="H116" t="s">
        <v>39</v>
      </c>
      <c r="I116" t="s">
        <v>88</v>
      </c>
      <c r="J116" t="s">
        <v>29</v>
      </c>
      <c r="K116" t="s">
        <v>404</v>
      </c>
      <c r="L116">
        <v>2</v>
      </c>
      <c r="M116">
        <v>28842</v>
      </c>
      <c r="N116">
        <v>57684</v>
      </c>
      <c r="O116">
        <v>10</v>
      </c>
      <c r="P116">
        <v>5768.4</v>
      </c>
      <c r="Q116">
        <v>51915.6</v>
      </c>
      <c r="R116" t="s">
        <v>53</v>
      </c>
      <c r="S116" t="s">
        <v>44</v>
      </c>
      <c r="T116">
        <v>9</v>
      </c>
      <c r="U116">
        <v>4672.4040000000005</v>
      </c>
    </row>
    <row r="117" spans="1:21" x14ac:dyDescent="0.25">
      <c r="A117" t="s">
        <v>405</v>
      </c>
      <c r="B117" s="8">
        <v>45869</v>
      </c>
      <c r="C117" t="s">
        <v>71</v>
      </c>
      <c r="D117" t="s">
        <v>406</v>
      </c>
      <c r="E117" t="s">
        <v>73</v>
      </c>
      <c r="F117" t="s">
        <v>37</v>
      </c>
      <c r="G117" t="s">
        <v>26</v>
      </c>
      <c r="H117" t="s">
        <v>27</v>
      </c>
      <c r="I117" t="s">
        <v>40</v>
      </c>
      <c r="J117" t="s">
        <v>41</v>
      </c>
      <c r="K117" t="s">
        <v>407</v>
      </c>
      <c r="L117">
        <v>6</v>
      </c>
      <c r="M117">
        <v>9195</v>
      </c>
      <c r="N117">
        <v>55170</v>
      </c>
      <c r="O117">
        <v>15</v>
      </c>
      <c r="P117">
        <v>8275.5</v>
      </c>
      <c r="Q117">
        <v>46894.5</v>
      </c>
      <c r="R117" t="s">
        <v>31</v>
      </c>
      <c r="S117" t="s">
        <v>69</v>
      </c>
      <c r="T117">
        <v>6</v>
      </c>
      <c r="U117">
        <v>2813.67</v>
      </c>
    </row>
    <row r="118" spans="1:21" x14ac:dyDescent="0.25">
      <c r="A118" t="s">
        <v>408</v>
      </c>
      <c r="B118" s="8">
        <v>45906</v>
      </c>
      <c r="C118" t="s">
        <v>92</v>
      </c>
      <c r="D118" t="s">
        <v>409</v>
      </c>
      <c r="E118" t="s">
        <v>48</v>
      </c>
      <c r="F118" t="s">
        <v>49</v>
      </c>
      <c r="G118" t="s">
        <v>38</v>
      </c>
      <c r="H118" t="s">
        <v>39</v>
      </c>
      <c r="I118" t="s">
        <v>101</v>
      </c>
      <c r="J118" t="s">
        <v>117</v>
      </c>
      <c r="K118" t="s">
        <v>410</v>
      </c>
      <c r="L118">
        <v>10</v>
      </c>
      <c r="M118">
        <v>32987</v>
      </c>
      <c r="N118">
        <v>329870</v>
      </c>
      <c r="O118">
        <v>5</v>
      </c>
      <c r="P118">
        <v>16493.5</v>
      </c>
      <c r="Q118">
        <v>313376.5</v>
      </c>
      <c r="R118" t="s">
        <v>43</v>
      </c>
      <c r="S118" t="s">
        <v>44</v>
      </c>
      <c r="T118">
        <v>10</v>
      </c>
      <c r="U118">
        <v>31337.65</v>
      </c>
    </row>
    <row r="119" spans="1:21" x14ac:dyDescent="0.25">
      <c r="A119" t="s">
        <v>411</v>
      </c>
      <c r="B119" s="8">
        <v>45999</v>
      </c>
      <c r="C119" t="s">
        <v>22</v>
      </c>
      <c r="D119" t="s">
        <v>412</v>
      </c>
      <c r="E119" t="s">
        <v>24</v>
      </c>
      <c r="F119" t="s">
        <v>74</v>
      </c>
      <c r="G119" t="s">
        <v>26</v>
      </c>
      <c r="H119" t="s">
        <v>39</v>
      </c>
      <c r="I119" t="s">
        <v>50</v>
      </c>
      <c r="J119" t="s">
        <v>29</v>
      </c>
      <c r="K119" t="s">
        <v>413</v>
      </c>
      <c r="L119">
        <v>9</v>
      </c>
      <c r="M119">
        <v>40634</v>
      </c>
      <c r="N119">
        <v>365706</v>
      </c>
      <c r="O119">
        <v>0</v>
      </c>
      <c r="P119">
        <v>0</v>
      </c>
      <c r="Q119">
        <v>365706</v>
      </c>
      <c r="R119" t="s">
        <v>53</v>
      </c>
      <c r="S119" t="s">
        <v>44</v>
      </c>
      <c r="T119">
        <v>12</v>
      </c>
      <c r="U119">
        <v>43884.72</v>
      </c>
    </row>
    <row r="120" spans="1:21" x14ac:dyDescent="0.25">
      <c r="A120" t="s">
        <v>414</v>
      </c>
      <c r="B120" s="8">
        <v>45844</v>
      </c>
      <c r="C120" t="s">
        <v>22</v>
      </c>
      <c r="D120" t="s">
        <v>415</v>
      </c>
      <c r="E120" t="s">
        <v>24</v>
      </c>
      <c r="F120" t="s">
        <v>56</v>
      </c>
      <c r="G120" t="s">
        <v>38</v>
      </c>
      <c r="H120" t="s">
        <v>39</v>
      </c>
      <c r="I120" t="s">
        <v>28</v>
      </c>
      <c r="J120" t="s">
        <v>51</v>
      </c>
      <c r="K120" t="s">
        <v>416</v>
      </c>
      <c r="L120">
        <v>6</v>
      </c>
      <c r="M120">
        <v>9400</v>
      </c>
      <c r="N120">
        <v>56400</v>
      </c>
      <c r="O120">
        <v>5</v>
      </c>
      <c r="P120">
        <v>2820</v>
      </c>
      <c r="Q120">
        <v>53580</v>
      </c>
      <c r="R120" t="s">
        <v>31</v>
      </c>
      <c r="S120" t="s">
        <v>32</v>
      </c>
      <c r="T120">
        <v>18</v>
      </c>
      <c r="U120">
        <v>9644.4</v>
      </c>
    </row>
    <row r="121" spans="1:21" x14ac:dyDescent="0.25">
      <c r="A121" t="s">
        <v>417</v>
      </c>
      <c r="B121" s="8">
        <v>45932</v>
      </c>
      <c r="C121" t="s">
        <v>120</v>
      </c>
      <c r="D121" t="s">
        <v>23</v>
      </c>
      <c r="E121" t="s">
        <v>48</v>
      </c>
      <c r="F121" t="s">
        <v>83</v>
      </c>
      <c r="G121" t="s">
        <v>38</v>
      </c>
      <c r="H121" t="s">
        <v>39</v>
      </c>
      <c r="I121" t="s">
        <v>88</v>
      </c>
      <c r="J121" t="s">
        <v>29</v>
      </c>
      <c r="K121" t="s">
        <v>418</v>
      </c>
      <c r="L121">
        <v>1</v>
      </c>
      <c r="M121">
        <v>17437</v>
      </c>
      <c r="N121">
        <v>17437</v>
      </c>
      <c r="O121">
        <v>15</v>
      </c>
      <c r="P121">
        <v>2615.5500000000002</v>
      </c>
      <c r="Q121">
        <v>14821.45</v>
      </c>
      <c r="R121" t="s">
        <v>43</v>
      </c>
      <c r="S121" t="s">
        <v>32</v>
      </c>
      <c r="T121">
        <v>23</v>
      </c>
      <c r="U121">
        <v>3408.933500000001</v>
      </c>
    </row>
    <row r="122" spans="1:21" x14ac:dyDescent="0.25">
      <c r="A122" t="s">
        <v>419</v>
      </c>
      <c r="B122" s="8">
        <v>45682</v>
      </c>
      <c r="C122" t="s">
        <v>22</v>
      </c>
      <c r="D122" t="s">
        <v>420</v>
      </c>
      <c r="E122" t="s">
        <v>24</v>
      </c>
      <c r="F122" t="s">
        <v>56</v>
      </c>
      <c r="G122" t="s">
        <v>38</v>
      </c>
      <c r="H122" t="s">
        <v>27</v>
      </c>
      <c r="I122" t="s">
        <v>50</v>
      </c>
      <c r="J122" t="s">
        <v>78</v>
      </c>
      <c r="K122" t="s">
        <v>421</v>
      </c>
      <c r="L122">
        <v>2</v>
      </c>
      <c r="M122">
        <v>37804</v>
      </c>
      <c r="N122">
        <v>75608</v>
      </c>
      <c r="O122">
        <v>20</v>
      </c>
      <c r="P122">
        <v>15121.6</v>
      </c>
      <c r="Q122">
        <v>60486.400000000001</v>
      </c>
      <c r="R122" t="s">
        <v>31</v>
      </c>
      <c r="S122" t="s">
        <v>44</v>
      </c>
      <c r="T122">
        <v>26</v>
      </c>
      <c r="U122">
        <v>15726.464</v>
      </c>
    </row>
    <row r="123" spans="1:21" x14ac:dyDescent="0.25">
      <c r="A123" t="s">
        <v>422</v>
      </c>
      <c r="B123" s="8">
        <v>45709</v>
      </c>
      <c r="C123" t="s">
        <v>86</v>
      </c>
      <c r="D123" t="s">
        <v>423</v>
      </c>
      <c r="E123" t="s">
        <v>36</v>
      </c>
      <c r="F123" t="s">
        <v>37</v>
      </c>
      <c r="G123" t="s">
        <v>26</v>
      </c>
      <c r="H123" t="s">
        <v>57</v>
      </c>
      <c r="I123" t="s">
        <v>88</v>
      </c>
      <c r="J123" t="s">
        <v>51</v>
      </c>
      <c r="K123" t="s">
        <v>424</v>
      </c>
      <c r="L123">
        <v>4</v>
      </c>
      <c r="M123">
        <v>9072</v>
      </c>
      <c r="N123">
        <v>36288</v>
      </c>
      <c r="O123">
        <v>15</v>
      </c>
      <c r="P123">
        <v>5443.2</v>
      </c>
      <c r="Q123">
        <v>30844.799999999999</v>
      </c>
      <c r="R123" t="s">
        <v>53</v>
      </c>
      <c r="S123" t="s">
        <v>69</v>
      </c>
      <c r="T123">
        <v>29</v>
      </c>
      <c r="U123">
        <v>8944.9920000000002</v>
      </c>
    </row>
    <row r="124" spans="1:21" x14ac:dyDescent="0.25">
      <c r="A124" t="s">
        <v>425</v>
      </c>
      <c r="B124" s="8">
        <v>45725</v>
      </c>
      <c r="C124" t="s">
        <v>46</v>
      </c>
      <c r="D124" t="s">
        <v>426</v>
      </c>
      <c r="E124" t="s">
        <v>73</v>
      </c>
      <c r="F124" t="s">
        <v>94</v>
      </c>
      <c r="G124" t="s">
        <v>38</v>
      </c>
      <c r="H124" t="s">
        <v>39</v>
      </c>
      <c r="I124" t="s">
        <v>40</v>
      </c>
      <c r="J124" t="s">
        <v>51</v>
      </c>
      <c r="K124" t="s">
        <v>427</v>
      </c>
      <c r="L124">
        <v>1</v>
      </c>
      <c r="M124">
        <v>4791</v>
      </c>
      <c r="N124">
        <v>4791</v>
      </c>
      <c r="O124">
        <v>0</v>
      </c>
      <c r="P124">
        <v>0</v>
      </c>
      <c r="Q124">
        <v>4791</v>
      </c>
      <c r="R124" t="s">
        <v>53</v>
      </c>
      <c r="S124" t="s">
        <v>44</v>
      </c>
      <c r="T124">
        <v>8</v>
      </c>
      <c r="U124">
        <v>383.28</v>
      </c>
    </row>
    <row r="125" spans="1:21" x14ac:dyDescent="0.25">
      <c r="A125" t="s">
        <v>428</v>
      </c>
      <c r="B125" s="8">
        <v>45742</v>
      </c>
      <c r="C125" t="s">
        <v>86</v>
      </c>
      <c r="D125" t="s">
        <v>300</v>
      </c>
      <c r="E125" t="s">
        <v>73</v>
      </c>
      <c r="F125" t="s">
        <v>94</v>
      </c>
      <c r="G125" t="s">
        <v>38</v>
      </c>
      <c r="H125" t="s">
        <v>57</v>
      </c>
      <c r="I125" t="s">
        <v>75</v>
      </c>
      <c r="J125" t="s">
        <v>67</v>
      </c>
      <c r="K125" t="s">
        <v>429</v>
      </c>
      <c r="L125">
        <v>9</v>
      </c>
      <c r="M125">
        <v>24452</v>
      </c>
      <c r="N125">
        <v>220068</v>
      </c>
      <c r="O125">
        <v>10</v>
      </c>
      <c r="P125">
        <v>22006.799999999999</v>
      </c>
      <c r="Q125">
        <v>198061.2</v>
      </c>
      <c r="R125" t="s">
        <v>53</v>
      </c>
      <c r="S125" t="s">
        <v>44</v>
      </c>
      <c r="T125">
        <v>22</v>
      </c>
      <c r="U125">
        <v>43573.464000000007</v>
      </c>
    </row>
    <row r="126" spans="1:21" x14ac:dyDescent="0.25">
      <c r="A126" t="s">
        <v>430</v>
      </c>
      <c r="B126" s="8">
        <v>45865</v>
      </c>
      <c r="C126" t="s">
        <v>92</v>
      </c>
      <c r="D126" t="s">
        <v>178</v>
      </c>
      <c r="E126" t="s">
        <v>48</v>
      </c>
      <c r="F126" t="s">
        <v>25</v>
      </c>
      <c r="G126" t="s">
        <v>66</v>
      </c>
      <c r="H126" t="s">
        <v>39</v>
      </c>
      <c r="I126" t="s">
        <v>40</v>
      </c>
      <c r="J126" t="s">
        <v>41</v>
      </c>
      <c r="K126" t="s">
        <v>431</v>
      </c>
      <c r="L126">
        <v>10</v>
      </c>
      <c r="M126">
        <v>24986</v>
      </c>
      <c r="N126">
        <v>249860</v>
      </c>
      <c r="O126">
        <v>5</v>
      </c>
      <c r="P126">
        <v>12493</v>
      </c>
      <c r="Q126">
        <v>237367</v>
      </c>
      <c r="R126" t="s">
        <v>31</v>
      </c>
      <c r="S126" t="s">
        <v>44</v>
      </c>
      <c r="T126">
        <v>20</v>
      </c>
      <c r="U126">
        <v>47473.4</v>
      </c>
    </row>
    <row r="127" spans="1:21" x14ac:dyDescent="0.25">
      <c r="A127" t="s">
        <v>432</v>
      </c>
      <c r="B127" s="8">
        <v>45833</v>
      </c>
      <c r="C127" t="s">
        <v>34</v>
      </c>
      <c r="D127" t="s">
        <v>433</v>
      </c>
      <c r="E127" t="s">
        <v>48</v>
      </c>
      <c r="F127" t="s">
        <v>49</v>
      </c>
      <c r="G127" t="s">
        <v>38</v>
      </c>
      <c r="H127" t="s">
        <v>57</v>
      </c>
      <c r="I127" t="s">
        <v>40</v>
      </c>
      <c r="J127" t="s">
        <v>117</v>
      </c>
      <c r="K127" t="s">
        <v>434</v>
      </c>
      <c r="L127">
        <v>3</v>
      </c>
      <c r="M127">
        <v>23733</v>
      </c>
      <c r="N127">
        <v>71199</v>
      </c>
      <c r="O127">
        <v>20</v>
      </c>
      <c r="P127">
        <v>14239.8</v>
      </c>
      <c r="Q127">
        <v>56959.199999999997</v>
      </c>
      <c r="R127" t="s">
        <v>53</v>
      </c>
      <c r="S127" t="s">
        <v>32</v>
      </c>
      <c r="T127">
        <v>27</v>
      </c>
      <c r="U127">
        <v>15378.984</v>
      </c>
    </row>
    <row r="128" spans="1:21" x14ac:dyDescent="0.25">
      <c r="A128" t="s">
        <v>435</v>
      </c>
      <c r="B128" s="8">
        <v>45904</v>
      </c>
      <c r="C128" t="s">
        <v>46</v>
      </c>
      <c r="D128" t="s">
        <v>436</v>
      </c>
      <c r="E128" t="s">
        <v>48</v>
      </c>
      <c r="F128" t="s">
        <v>94</v>
      </c>
      <c r="G128" t="s">
        <v>26</v>
      </c>
      <c r="H128" t="s">
        <v>27</v>
      </c>
      <c r="I128" t="s">
        <v>75</v>
      </c>
      <c r="J128" t="s">
        <v>29</v>
      </c>
      <c r="K128" t="s">
        <v>437</v>
      </c>
      <c r="L128">
        <v>9</v>
      </c>
      <c r="M128">
        <v>22631</v>
      </c>
      <c r="N128">
        <v>203679</v>
      </c>
      <c r="O128">
        <v>10</v>
      </c>
      <c r="P128">
        <v>20367.900000000001</v>
      </c>
      <c r="Q128">
        <v>183311.1</v>
      </c>
      <c r="R128" t="s">
        <v>43</v>
      </c>
      <c r="S128" t="s">
        <v>44</v>
      </c>
      <c r="T128">
        <v>25</v>
      </c>
      <c r="U128">
        <v>45827.775000000001</v>
      </c>
    </row>
    <row r="129" spans="1:21" x14ac:dyDescent="0.25">
      <c r="A129" t="s">
        <v>438</v>
      </c>
      <c r="B129" s="8">
        <v>45710</v>
      </c>
      <c r="C129" t="s">
        <v>92</v>
      </c>
      <c r="D129" t="s">
        <v>439</v>
      </c>
      <c r="E129" t="s">
        <v>24</v>
      </c>
      <c r="F129" t="s">
        <v>94</v>
      </c>
      <c r="G129" t="s">
        <v>26</v>
      </c>
      <c r="H129" t="s">
        <v>57</v>
      </c>
      <c r="I129" t="s">
        <v>101</v>
      </c>
      <c r="J129" t="s">
        <v>51</v>
      </c>
      <c r="K129" t="s">
        <v>440</v>
      </c>
      <c r="L129">
        <v>8</v>
      </c>
      <c r="M129">
        <v>47633</v>
      </c>
      <c r="N129">
        <v>381064</v>
      </c>
      <c r="O129">
        <v>10</v>
      </c>
      <c r="P129">
        <v>38106.400000000001</v>
      </c>
      <c r="Q129">
        <v>342957.6</v>
      </c>
      <c r="R129" t="s">
        <v>31</v>
      </c>
      <c r="S129" t="s">
        <v>44</v>
      </c>
      <c r="T129">
        <v>28</v>
      </c>
      <c r="U129">
        <v>96028.127999999982</v>
      </c>
    </row>
    <row r="130" spans="1:21" x14ac:dyDescent="0.25">
      <c r="A130" t="s">
        <v>441</v>
      </c>
      <c r="B130" s="8">
        <v>45854</v>
      </c>
      <c r="C130" t="s">
        <v>92</v>
      </c>
      <c r="D130" t="s">
        <v>273</v>
      </c>
      <c r="E130" t="s">
        <v>73</v>
      </c>
      <c r="F130" t="s">
        <v>74</v>
      </c>
      <c r="G130" t="s">
        <v>26</v>
      </c>
      <c r="H130" t="s">
        <v>27</v>
      </c>
      <c r="I130" t="s">
        <v>28</v>
      </c>
      <c r="J130" t="s">
        <v>51</v>
      </c>
      <c r="K130" t="s">
        <v>442</v>
      </c>
      <c r="L130">
        <v>8</v>
      </c>
      <c r="M130">
        <v>35872</v>
      </c>
      <c r="N130">
        <v>286976</v>
      </c>
      <c r="O130">
        <v>5</v>
      </c>
      <c r="P130">
        <v>14348.8</v>
      </c>
      <c r="Q130">
        <v>272627.20000000001</v>
      </c>
      <c r="R130" t="s">
        <v>53</v>
      </c>
      <c r="S130" t="s">
        <v>69</v>
      </c>
      <c r="T130">
        <v>19</v>
      </c>
      <c r="U130">
        <v>51799.167999999998</v>
      </c>
    </row>
    <row r="131" spans="1:21" x14ac:dyDescent="0.25">
      <c r="A131" t="s">
        <v>443</v>
      </c>
      <c r="B131" s="8">
        <v>46014</v>
      </c>
      <c r="C131" t="s">
        <v>71</v>
      </c>
      <c r="D131" t="s">
        <v>444</v>
      </c>
      <c r="E131" t="s">
        <v>24</v>
      </c>
      <c r="F131" t="s">
        <v>94</v>
      </c>
      <c r="G131" t="s">
        <v>38</v>
      </c>
      <c r="H131" t="s">
        <v>57</v>
      </c>
      <c r="I131" t="s">
        <v>40</v>
      </c>
      <c r="J131" t="s">
        <v>41</v>
      </c>
      <c r="K131" t="s">
        <v>445</v>
      </c>
      <c r="L131">
        <v>2</v>
      </c>
      <c r="M131">
        <v>37980</v>
      </c>
      <c r="N131">
        <v>75960</v>
      </c>
      <c r="O131">
        <v>10</v>
      </c>
      <c r="P131">
        <v>7596</v>
      </c>
      <c r="Q131">
        <v>68364</v>
      </c>
      <c r="R131" t="s">
        <v>53</v>
      </c>
      <c r="S131" t="s">
        <v>32</v>
      </c>
      <c r="T131">
        <v>7</v>
      </c>
      <c r="U131">
        <v>4785.4799999999996</v>
      </c>
    </row>
    <row r="132" spans="1:21" x14ac:dyDescent="0.25">
      <c r="A132" t="s">
        <v>446</v>
      </c>
      <c r="B132" s="8">
        <v>45731</v>
      </c>
      <c r="C132" t="s">
        <v>71</v>
      </c>
      <c r="D132" t="s">
        <v>447</v>
      </c>
      <c r="E132" t="s">
        <v>48</v>
      </c>
      <c r="F132" t="s">
        <v>37</v>
      </c>
      <c r="G132" t="s">
        <v>26</v>
      </c>
      <c r="H132" t="s">
        <v>39</v>
      </c>
      <c r="I132" t="s">
        <v>88</v>
      </c>
      <c r="J132" t="s">
        <v>78</v>
      </c>
      <c r="K132" t="s">
        <v>448</v>
      </c>
      <c r="L132">
        <v>4</v>
      </c>
      <c r="M132">
        <v>25685</v>
      </c>
      <c r="N132">
        <v>102740</v>
      </c>
      <c r="O132">
        <v>0</v>
      </c>
      <c r="P132">
        <v>0</v>
      </c>
      <c r="Q132">
        <v>102740</v>
      </c>
      <c r="R132" t="s">
        <v>53</v>
      </c>
      <c r="S132" t="s">
        <v>44</v>
      </c>
      <c r="T132">
        <v>5</v>
      </c>
      <c r="U132">
        <v>5137</v>
      </c>
    </row>
    <row r="133" spans="1:21" x14ac:dyDescent="0.25">
      <c r="A133" t="s">
        <v>449</v>
      </c>
      <c r="B133" s="8">
        <v>45793</v>
      </c>
      <c r="C133" t="s">
        <v>22</v>
      </c>
      <c r="D133" t="s">
        <v>333</v>
      </c>
      <c r="E133" t="s">
        <v>48</v>
      </c>
      <c r="F133" t="s">
        <v>83</v>
      </c>
      <c r="G133" t="s">
        <v>66</v>
      </c>
      <c r="H133" t="s">
        <v>27</v>
      </c>
      <c r="I133" t="s">
        <v>88</v>
      </c>
      <c r="J133" t="s">
        <v>67</v>
      </c>
      <c r="K133" t="s">
        <v>450</v>
      </c>
      <c r="L133">
        <v>4</v>
      </c>
      <c r="M133">
        <v>47429</v>
      </c>
      <c r="N133">
        <v>189716</v>
      </c>
      <c r="O133">
        <v>20</v>
      </c>
      <c r="P133">
        <v>37943.199999999997</v>
      </c>
      <c r="Q133">
        <v>151772.79999999999</v>
      </c>
      <c r="R133" t="s">
        <v>31</v>
      </c>
      <c r="S133" t="s">
        <v>44</v>
      </c>
      <c r="T133">
        <v>8</v>
      </c>
      <c r="U133">
        <v>12141.824000000001</v>
      </c>
    </row>
    <row r="134" spans="1:21" x14ac:dyDescent="0.25">
      <c r="A134" t="s">
        <v>451</v>
      </c>
      <c r="B134" s="8">
        <v>45700</v>
      </c>
      <c r="C134" t="s">
        <v>22</v>
      </c>
      <c r="D134" t="s">
        <v>172</v>
      </c>
      <c r="E134" t="s">
        <v>48</v>
      </c>
      <c r="F134" t="s">
        <v>83</v>
      </c>
      <c r="G134" t="s">
        <v>26</v>
      </c>
      <c r="H134" t="s">
        <v>39</v>
      </c>
      <c r="I134" t="s">
        <v>75</v>
      </c>
      <c r="J134" t="s">
        <v>117</v>
      </c>
      <c r="K134" t="s">
        <v>452</v>
      </c>
      <c r="L134">
        <v>4</v>
      </c>
      <c r="M134">
        <v>47942</v>
      </c>
      <c r="N134">
        <v>191768</v>
      </c>
      <c r="O134">
        <v>15</v>
      </c>
      <c r="P134">
        <v>28765.200000000001</v>
      </c>
      <c r="Q134">
        <v>163002.79999999999</v>
      </c>
      <c r="R134" t="s">
        <v>43</v>
      </c>
      <c r="S134" t="s">
        <v>44</v>
      </c>
      <c r="T134">
        <v>24</v>
      </c>
      <c r="U134">
        <v>39120.671999999999</v>
      </c>
    </row>
    <row r="135" spans="1:21" x14ac:dyDescent="0.25">
      <c r="A135" t="s">
        <v>453</v>
      </c>
      <c r="B135" s="8">
        <v>45721</v>
      </c>
      <c r="C135" t="s">
        <v>147</v>
      </c>
      <c r="D135" t="s">
        <v>368</v>
      </c>
      <c r="E135" t="s">
        <v>36</v>
      </c>
      <c r="F135" t="s">
        <v>49</v>
      </c>
      <c r="G135" t="s">
        <v>66</v>
      </c>
      <c r="H135" t="s">
        <v>27</v>
      </c>
      <c r="I135" t="s">
        <v>88</v>
      </c>
      <c r="J135" t="s">
        <v>51</v>
      </c>
      <c r="K135" t="s">
        <v>454</v>
      </c>
      <c r="L135">
        <v>9</v>
      </c>
      <c r="M135">
        <v>27342</v>
      </c>
      <c r="N135">
        <v>246078</v>
      </c>
      <c r="O135">
        <v>10</v>
      </c>
      <c r="P135">
        <v>24607.8</v>
      </c>
      <c r="Q135">
        <v>221470.2</v>
      </c>
      <c r="R135" t="s">
        <v>43</v>
      </c>
      <c r="S135" t="s">
        <v>69</v>
      </c>
      <c r="T135">
        <v>22</v>
      </c>
      <c r="U135">
        <v>48723.444000000003</v>
      </c>
    </row>
    <row r="136" spans="1:21" x14ac:dyDescent="0.25">
      <c r="A136" t="s">
        <v>455</v>
      </c>
      <c r="B136" s="8">
        <v>45729</v>
      </c>
      <c r="C136" t="s">
        <v>63</v>
      </c>
      <c r="D136" t="s">
        <v>456</v>
      </c>
      <c r="E136" t="s">
        <v>73</v>
      </c>
      <c r="F136" t="s">
        <v>65</v>
      </c>
      <c r="G136" t="s">
        <v>66</v>
      </c>
      <c r="H136" t="s">
        <v>57</v>
      </c>
      <c r="I136" t="s">
        <v>88</v>
      </c>
      <c r="J136" t="s">
        <v>29</v>
      </c>
      <c r="K136" t="s">
        <v>200</v>
      </c>
      <c r="L136">
        <v>6</v>
      </c>
      <c r="M136">
        <v>1871</v>
      </c>
      <c r="N136">
        <v>11226</v>
      </c>
      <c r="O136">
        <v>20</v>
      </c>
      <c r="P136">
        <v>2245.1999999999998</v>
      </c>
      <c r="Q136">
        <v>8980.7999999999993</v>
      </c>
      <c r="R136" t="s">
        <v>53</v>
      </c>
      <c r="S136" t="s">
        <v>69</v>
      </c>
      <c r="T136">
        <v>24</v>
      </c>
      <c r="U136">
        <v>2155.3919999999998</v>
      </c>
    </row>
    <row r="137" spans="1:21" x14ac:dyDescent="0.25">
      <c r="A137" t="s">
        <v>457</v>
      </c>
      <c r="B137" s="8">
        <v>45826</v>
      </c>
      <c r="C137" t="s">
        <v>63</v>
      </c>
      <c r="D137" t="s">
        <v>458</v>
      </c>
      <c r="E137" t="s">
        <v>24</v>
      </c>
      <c r="F137" t="s">
        <v>37</v>
      </c>
      <c r="G137" t="s">
        <v>38</v>
      </c>
      <c r="H137" t="s">
        <v>39</v>
      </c>
      <c r="I137" t="s">
        <v>40</v>
      </c>
      <c r="J137" t="s">
        <v>117</v>
      </c>
      <c r="K137" t="s">
        <v>459</v>
      </c>
      <c r="L137">
        <v>7</v>
      </c>
      <c r="M137">
        <v>8081</v>
      </c>
      <c r="N137">
        <v>56567</v>
      </c>
      <c r="O137">
        <v>5</v>
      </c>
      <c r="P137">
        <v>2828.35</v>
      </c>
      <c r="Q137">
        <v>53738.65</v>
      </c>
      <c r="R137" t="s">
        <v>31</v>
      </c>
      <c r="S137" t="s">
        <v>69</v>
      </c>
      <c r="T137">
        <v>20</v>
      </c>
      <c r="U137">
        <v>10747.73</v>
      </c>
    </row>
    <row r="138" spans="1:21" x14ac:dyDescent="0.25">
      <c r="A138" t="s">
        <v>460</v>
      </c>
      <c r="B138" s="8">
        <v>45754</v>
      </c>
      <c r="C138" t="s">
        <v>120</v>
      </c>
      <c r="D138" t="s">
        <v>461</v>
      </c>
      <c r="E138" t="s">
        <v>36</v>
      </c>
      <c r="F138" t="s">
        <v>83</v>
      </c>
      <c r="G138" t="s">
        <v>26</v>
      </c>
      <c r="H138" t="s">
        <v>57</v>
      </c>
      <c r="I138" t="s">
        <v>50</v>
      </c>
      <c r="J138" t="s">
        <v>29</v>
      </c>
      <c r="K138" t="s">
        <v>462</v>
      </c>
      <c r="L138">
        <v>7</v>
      </c>
      <c r="M138">
        <v>28476</v>
      </c>
      <c r="N138">
        <v>199332</v>
      </c>
      <c r="O138">
        <v>10</v>
      </c>
      <c r="P138">
        <v>19933.2</v>
      </c>
      <c r="Q138">
        <v>179398.8</v>
      </c>
      <c r="R138" t="s">
        <v>53</v>
      </c>
      <c r="S138" t="s">
        <v>44</v>
      </c>
      <c r="T138">
        <v>26</v>
      </c>
      <c r="U138">
        <v>46643.687999999987</v>
      </c>
    </row>
    <row r="139" spans="1:21" x14ac:dyDescent="0.25">
      <c r="A139" t="s">
        <v>463</v>
      </c>
      <c r="B139" s="8">
        <v>45857</v>
      </c>
      <c r="C139" t="s">
        <v>120</v>
      </c>
      <c r="D139" t="s">
        <v>464</v>
      </c>
      <c r="E139" t="s">
        <v>73</v>
      </c>
      <c r="F139" t="s">
        <v>94</v>
      </c>
      <c r="G139" t="s">
        <v>66</v>
      </c>
      <c r="H139" t="s">
        <v>57</v>
      </c>
      <c r="I139" t="s">
        <v>75</v>
      </c>
      <c r="J139" t="s">
        <v>29</v>
      </c>
      <c r="K139" t="s">
        <v>465</v>
      </c>
      <c r="L139">
        <v>7</v>
      </c>
      <c r="M139">
        <v>28197</v>
      </c>
      <c r="N139">
        <v>197379</v>
      </c>
      <c r="O139">
        <v>15</v>
      </c>
      <c r="P139">
        <v>29606.85</v>
      </c>
      <c r="Q139">
        <v>167772.15</v>
      </c>
      <c r="R139" t="s">
        <v>31</v>
      </c>
      <c r="S139" t="s">
        <v>44</v>
      </c>
      <c r="T139">
        <v>26</v>
      </c>
      <c r="U139">
        <v>43620.758999999991</v>
      </c>
    </row>
    <row r="140" spans="1:21" x14ac:dyDescent="0.25">
      <c r="A140" t="s">
        <v>466</v>
      </c>
      <c r="B140" s="8">
        <v>45815</v>
      </c>
      <c r="C140" t="s">
        <v>46</v>
      </c>
      <c r="D140" t="s">
        <v>467</v>
      </c>
      <c r="E140" t="s">
        <v>73</v>
      </c>
      <c r="F140" t="s">
        <v>56</v>
      </c>
      <c r="G140" t="s">
        <v>66</v>
      </c>
      <c r="H140" t="s">
        <v>27</v>
      </c>
      <c r="I140" t="s">
        <v>101</v>
      </c>
      <c r="J140" t="s">
        <v>41</v>
      </c>
      <c r="K140" t="s">
        <v>468</v>
      </c>
      <c r="L140">
        <v>9</v>
      </c>
      <c r="M140">
        <v>39490</v>
      </c>
      <c r="N140">
        <v>355410</v>
      </c>
      <c r="O140">
        <v>20</v>
      </c>
      <c r="P140">
        <v>71082</v>
      </c>
      <c r="Q140">
        <v>284328</v>
      </c>
      <c r="R140" t="s">
        <v>31</v>
      </c>
      <c r="S140" t="s">
        <v>44</v>
      </c>
      <c r="T140">
        <v>19</v>
      </c>
      <c r="U140">
        <v>54022.32</v>
      </c>
    </row>
    <row r="141" spans="1:21" x14ac:dyDescent="0.25">
      <c r="A141" t="s">
        <v>469</v>
      </c>
      <c r="B141" s="8">
        <v>45838</v>
      </c>
      <c r="C141" t="s">
        <v>147</v>
      </c>
      <c r="D141" t="s">
        <v>470</v>
      </c>
      <c r="E141" t="s">
        <v>36</v>
      </c>
      <c r="F141" t="s">
        <v>49</v>
      </c>
      <c r="G141" t="s">
        <v>66</v>
      </c>
      <c r="H141" t="s">
        <v>39</v>
      </c>
      <c r="I141" t="s">
        <v>88</v>
      </c>
      <c r="J141" t="s">
        <v>78</v>
      </c>
      <c r="K141" t="s">
        <v>471</v>
      </c>
      <c r="L141">
        <v>5</v>
      </c>
      <c r="M141">
        <v>24562</v>
      </c>
      <c r="N141">
        <v>122810</v>
      </c>
      <c r="O141">
        <v>15</v>
      </c>
      <c r="P141">
        <v>18421.5</v>
      </c>
      <c r="Q141">
        <v>104388.5</v>
      </c>
      <c r="R141" t="s">
        <v>90</v>
      </c>
      <c r="S141" t="s">
        <v>44</v>
      </c>
      <c r="T141">
        <v>14</v>
      </c>
      <c r="U141">
        <v>14614.39</v>
      </c>
    </row>
    <row r="142" spans="1:21" x14ac:dyDescent="0.25">
      <c r="A142" t="s">
        <v>472</v>
      </c>
      <c r="B142" s="8">
        <v>45662</v>
      </c>
      <c r="C142" t="s">
        <v>22</v>
      </c>
      <c r="D142" t="s">
        <v>473</v>
      </c>
      <c r="E142" t="s">
        <v>24</v>
      </c>
      <c r="F142" t="s">
        <v>94</v>
      </c>
      <c r="G142" t="s">
        <v>66</v>
      </c>
      <c r="H142" t="s">
        <v>27</v>
      </c>
      <c r="I142" t="s">
        <v>40</v>
      </c>
      <c r="J142" t="s">
        <v>67</v>
      </c>
      <c r="K142" t="s">
        <v>474</v>
      </c>
      <c r="L142">
        <v>6</v>
      </c>
      <c r="M142">
        <v>1920</v>
      </c>
      <c r="N142">
        <v>11520</v>
      </c>
      <c r="O142">
        <v>15</v>
      </c>
      <c r="P142">
        <v>1728</v>
      </c>
      <c r="Q142">
        <v>9792</v>
      </c>
      <c r="R142" t="s">
        <v>43</v>
      </c>
      <c r="S142" t="s">
        <v>69</v>
      </c>
      <c r="T142">
        <v>21</v>
      </c>
      <c r="U142">
        <v>2056.3200000000002</v>
      </c>
    </row>
    <row r="143" spans="1:21" x14ac:dyDescent="0.25">
      <c r="A143" t="s">
        <v>475</v>
      </c>
      <c r="B143" s="8">
        <v>45860</v>
      </c>
      <c r="C143" t="s">
        <v>34</v>
      </c>
      <c r="D143" t="s">
        <v>476</v>
      </c>
      <c r="E143" t="s">
        <v>24</v>
      </c>
      <c r="F143" t="s">
        <v>25</v>
      </c>
      <c r="G143" t="s">
        <v>66</v>
      </c>
      <c r="H143" t="s">
        <v>57</v>
      </c>
      <c r="I143" t="s">
        <v>40</v>
      </c>
      <c r="J143" t="s">
        <v>67</v>
      </c>
      <c r="K143" t="s">
        <v>477</v>
      </c>
      <c r="L143">
        <v>4</v>
      </c>
      <c r="M143">
        <v>42814</v>
      </c>
      <c r="N143">
        <v>171256</v>
      </c>
      <c r="O143">
        <v>10</v>
      </c>
      <c r="P143">
        <v>17125.599999999999</v>
      </c>
      <c r="Q143">
        <v>154130.4</v>
      </c>
      <c r="R143" t="s">
        <v>90</v>
      </c>
      <c r="S143" t="s">
        <v>44</v>
      </c>
      <c r="T143">
        <v>12</v>
      </c>
      <c r="U143">
        <v>18495.648000000001</v>
      </c>
    </row>
    <row r="144" spans="1:21" x14ac:dyDescent="0.25">
      <c r="A144" t="s">
        <v>478</v>
      </c>
      <c r="B144" s="8">
        <v>45975</v>
      </c>
      <c r="C144" t="s">
        <v>81</v>
      </c>
      <c r="D144" t="s">
        <v>479</v>
      </c>
      <c r="E144" t="s">
        <v>48</v>
      </c>
      <c r="F144" t="s">
        <v>65</v>
      </c>
      <c r="G144" t="s">
        <v>26</v>
      </c>
      <c r="H144" t="s">
        <v>57</v>
      </c>
      <c r="I144" t="s">
        <v>28</v>
      </c>
      <c r="J144" t="s">
        <v>41</v>
      </c>
      <c r="K144" t="s">
        <v>480</v>
      </c>
      <c r="L144">
        <v>7</v>
      </c>
      <c r="M144">
        <v>3224</v>
      </c>
      <c r="N144">
        <v>22568</v>
      </c>
      <c r="O144">
        <v>0</v>
      </c>
      <c r="P144">
        <v>0</v>
      </c>
      <c r="Q144">
        <v>22568</v>
      </c>
      <c r="R144" t="s">
        <v>43</v>
      </c>
      <c r="S144" t="s">
        <v>69</v>
      </c>
      <c r="T144">
        <v>30</v>
      </c>
      <c r="U144">
        <v>6770.4</v>
      </c>
    </row>
    <row r="145" spans="1:21" x14ac:dyDescent="0.25">
      <c r="A145" t="s">
        <v>481</v>
      </c>
      <c r="B145" s="8">
        <v>45660</v>
      </c>
      <c r="C145" t="s">
        <v>71</v>
      </c>
      <c r="D145" t="s">
        <v>360</v>
      </c>
      <c r="E145" t="s">
        <v>48</v>
      </c>
      <c r="F145" t="s">
        <v>94</v>
      </c>
      <c r="G145" t="s">
        <v>66</v>
      </c>
      <c r="H145" t="s">
        <v>27</v>
      </c>
      <c r="I145" t="s">
        <v>28</v>
      </c>
      <c r="J145" t="s">
        <v>29</v>
      </c>
      <c r="K145" t="s">
        <v>482</v>
      </c>
      <c r="L145">
        <v>6</v>
      </c>
      <c r="M145">
        <v>49790</v>
      </c>
      <c r="N145">
        <v>298740</v>
      </c>
      <c r="O145">
        <v>10</v>
      </c>
      <c r="P145">
        <v>29874</v>
      </c>
      <c r="Q145">
        <v>268866</v>
      </c>
      <c r="R145" t="s">
        <v>43</v>
      </c>
      <c r="S145" t="s">
        <v>69</v>
      </c>
      <c r="T145">
        <v>29</v>
      </c>
      <c r="U145">
        <v>77971.14</v>
      </c>
    </row>
    <row r="146" spans="1:21" x14ac:dyDescent="0.25">
      <c r="A146" t="s">
        <v>483</v>
      </c>
      <c r="B146" s="8">
        <v>45705</v>
      </c>
      <c r="C146" t="s">
        <v>86</v>
      </c>
      <c r="D146" t="s">
        <v>484</v>
      </c>
      <c r="E146" t="s">
        <v>48</v>
      </c>
      <c r="F146" t="s">
        <v>65</v>
      </c>
      <c r="G146" t="s">
        <v>66</v>
      </c>
      <c r="H146" t="s">
        <v>57</v>
      </c>
      <c r="I146" t="s">
        <v>75</v>
      </c>
      <c r="J146" t="s">
        <v>78</v>
      </c>
      <c r="K146" t="s">
        <v>485</v>
      </c>
      <c r="L146">
        <v>9</v>
      </c>
      <c r="M146">
        <v>3930</v>
      </c>
      <c r="N146">
        <v>35370</v>
      </c>
      <c r="O146">
        <v>10</v>
      </c>
      <c r="P146">
        <v>3537</v>
      </c>
      <c r="Q146">
        <v>31833</v>
      </c>
      <c r="R146" t="s">
        <v>31</v>
      </c>
      <c r="S146" t="s">
        <v>69</v>
      </c>
      <c r="T146">
        <v>13</v>
      </c>
      <c r="U146">
        <v>4138.29</v>
      </c>
    </row>
    <row r="147" spans="1:21" x14ac:dyDescent="0.25">
      <c r="A147" t="s">
        <v>486</v>
      </c>
      <c r="B147" s="8">
        <v>45933</v>
      </c>
      <c r="C147" t="s">
        <v>120</v>
      </c>
      <c r="D147" t="s">
        <v>487</v>
      </c>
      <c r="E147" t="s">
        <v>24</v>
      </c>
      <c r="F147" t="s">
        <v>56</v>
      </c>
      <c r="G147" t="s">
        <v>38</v>
      </c>
      <c r="H147" t="s">
        <v>57</v>
      </c>
      <c r="I147" t="s">
        <v>101</v>
      </c>
      <c r="J147" t="s">
        <v>78</v>
      </c>
      <c r="K147" t="s">
        <v>488</v>
      </c>
      <c r="L147">
        <v>5</v>
      </c>
      <c r="M147">
        <v>11864</v>
      </c>
      <c r="N147">
        <v>59320</v>
      </c>
      <c r="O147">
        <v>20</v>
      </c>
      <c r="P147">
        <v>11864</v>
      </c>
      <c r="Q147">
        <v>47456</v>
      </c>
      <c r="R147" t="s">
        <v>53</v>
      </c>
      <c r="S147" t="s">
        <v>69</v>
      </c>
      <c r="T147">
        <v>12</v>
      </c>
      <c r="U147">
        <v>5694.72</v>
      </c>
    </row>
    <row r="148" spans="1:21" x14ac:dyDescent="0.25">
      <c r="A148" t="s">
        <v>489</v>
      </c>
      <c r="B148" s="8">
        <v>45983</v>
      </c>
      <c r="C148" t="s">
        <v>81</v>
      </c>
      <c r="D148" t="s">
        <v>490</v>
      </c>
      <c r="E148" t="s">
        <v>48</v>
      </c>
      <c r="F148" t="s">
        <v>94</v>
      </c>
      <c r="G148" t="s">
        <v>66</v>
      </c>
      <c r="H148" t="s">
        <v>27</v>
      </c>
      <c r="I148" t="s">
        <v>75</v>
      </c>
      <c r="J148" t="s">
        <v>78</v>
      </c>
      <c r="K148" t="s">
        <v>491</v>
      </c>
      <c r="L148">
        <v>9</v>
      </c>
      <c r="M148">
        <v>30245</v>
      </c>
      <c r="N148">
        <v>272205</v>
      </c>
      <c r="O148">
        <v>10</v>
      </c>
      <c r="P148">
        <v>27220.5</v>
      </c>
      <c r="Q148">
        <v>244984.5</v>
      </c>
      <c r="R148" t="s">
        <v>53</v>
      </c>
      <c r="S148" t="s">
        <v>69</v>
      </c>
      <c r="T148">
        <v>14</v>
      </c>
      <c r="U148">
        <v>34297.83</v>
      </c>
    </row>
    <row r="149" spans="1:21" x14ac:dyDescent="0.25">
      <c r="A149" t="s">
        <v>492</v>
      </c>
      <c r="B149" s="8">
        <v>45658</v>
      </c>
      <c r="C149" t="s">
        <v>86</v>
      </c>
      <c r="D149" t="s">
        <v>493</v>
      </c>
      <c r="E149" t="s">
        <v>48</v>
      </c>
      <c r="F149" t="s">
        <v>83</v>
      </c>
      <c r="G149" t="s">
        <v>38</v>
      </c>
      <c r="H149" t="s">
        <v>57</v>
      </c>
      <c r="I149" t="s">
        <v>75</v>
      </c>
      <c r="J149" t="s">
        <v>67</v>
      </c>
      <c r="K149" t="s">
        <v>494</v>
      </c>
      <c r="L149">
        <v>5</v>
      </c>
      <c r="M149">
        <v>43605</v>
      </c>
      <c r="N149">
        <v>218025</v>
      </c>
      <c r="O149">
        <v>10</v>
      </c>
      <c r="P149">
        <v>21802.5</v>
      </c>
      <c r="Q149">
        <v>196222.5</v>
      </c>
      <c r="R149" t="s">
        <v>53</v>
      </c>
      <c r="S149" t="s">
        <v>32</v>
      </c>
      <c r="T149">
        <v>15</v>
      </c>
      <c r="U149">
        <v>29433.375</v>
      </c>
    </row>
    <row r="150" spans="1:21" x14ac:dyDescent="0.25">
      <c r="A150" t="s">
        <v>495</v>
      </c>
      <c r="B150" s="8">
        <v>45839</v>
      </c>
      <c r="C150" t="s">
        <v>46</v>
      </c>
      <c r="D150" t="s">
        <v>496</v>
      </c>
      <c r="E150" t="s">
        <v>48</v>
      </c>
      <c r="F150" t="s">
        <v>83</v>
      </c>
      <c r="G150" t="s">
        <v>66</v>
      </c>
      <c r="H150" t="s">
        <v>57</v>
      </c>
      <c r="I150" t="s">
        <v>88</v>
      </c>
      <c r="J150" t="s">
        <v>41</v>
      </c>
      <c r="K150" t="s">
        <v>497</v>
      </c>
      <c r="L150">
        <v>7</v>
      </c>
      <c r="M150">
        <v>25298</v>
      </c>
      <c r="N150">
        <v>177086</v>
      </c>
      <c r="O150">
        <v>5</v>
      </c>
      <c r="P150">
        <v>8854.2999999999993</v>
      </c>
      <c r="Q150">
        <v>168231.7</v>
      </c>
      <c r="R150" t="s">
        <v>90</v>
      </c>
      <c r="S150" t="s">
        <v>44</v>
      </c>
      <c r="T150">
        <v>29</v>
      </c>
      <c r="U150">
        <v>48787.193000000007</v>
      </c>
    </row>
    <row r="151" spans="1:21" x14ac:dyDescent="0.25">
      <c r="A151" t="s">
        <v>498</v>
      </c>
      <c r="B151" s="8">
        <v>45815</v>
      </c>
      <c r="C151" t="s">
        <v>46</v>
      </c>
      <c r="D151" t="s">
        <v>368</v>
      </c>
      <c r="E151" t="s">
        <v>48</v>
      </c>
      <c r="F151" t="s">
        <v>94</v>
      </c>
      <c r="G151" t="s">
        <v>66</v>
      </c>
      <c r="H151" t="s">
        <v>39</v>
      </c>
      <c r="I151" t="s">
        <v>75</v>
      </c>
      <c r="J151" t="s">
        <v>41</v>
      </c>
      <c r="K151" t="s">
        <v>499</v>
      </c>
      <c r="L151">
        <v>4</v>
      </c>
      <c r="M151">
        <v>32731</v>
      </c>
      <c r="N151">
        <v>130924</v>
      </c>
      <c r="O151">
        <v>10</v>
      </c>
      <c r="P151">
        <v>13092.4</v>
      </c>
      <c r="Q151">
        <v>117831.6</v>
      </c>
      <c r="R151" t="s">
        <v>31</v>
      </c>
      <c r="S151" t="s">
        <v>44</v>
      </c>
      <c r="T151">
        <v>22</v>
      </c>
      <c r="U151">
        <v>25922.952000000001</v>
      </c>
    </row>
    <row r="152" spans="1:21" x14ac:dyDescent="0.25">
      <c r="A152" t="s">
        <v>500</v>
      </c>
      <c r="B152" s="8">
        <v>45807</v>
      </c>
      <c r="C152" t="s">
        <v>120</v>
      </c>
      <c r="D152" t="s">
        <v>501</v>
      </c>
      <c r="E152" t="s">
        <v>48</v>
      </c>
      <c r="F152" t="s">
        <v>25</v>
      </c>
      <c r="G152" t="s">
        <v>66</v>
      </c>
      <c r="H152" t="s">
        <v>57</v>
      </c>
      <c r="I152" t="s">
        <v>50</v>
      </c>
      <c r="J152" t="s">
        <v>78</v>
      </c>
      <c r="K152" t="s">
        <v>118</v>
      </c>
      <c r="L152">
        <v>5</v>
      </c>
      <c r="M152">
        <v>9610</v>
      </c>
      <c r="N152">
        <v>48050</v>
      </c>
      <c r="O152">
        <v>20</v>
      </c>
      <c r="P152">
        <v>9610</v>
      </c>
      <c r="Q152">
        <v>38440</v>
      </c>
      <c r="R152" t="s">
        <v>43</v>
      </c>
      <c r="S152" t="s">
        <v>44</v>
      </c>
      <c r="T152">
        <v>30</v>
      </c>
      <c r="U152">
        <v>11532</v>
      </c>
    </row>
    <row r="153" spans="1:21" x14ac:dyDescent="0.25">
      <c r="A153" t="s">
        <v>502</v>
      </c>
      <c r="B153" s="8">
        <v>46001</v>
      </c>
      <c r="C153" t="s">
        <v>81</v>
      </c>
      <c r="D153" t="s">
        <v>503</v>
      </c>
      <c r="E153" t="s">
        <v>24</v>
      </c>
      <c r="F153" t="s">
        <v>49</v>
      </c>
      <c r="G153" t="s">
        <v>26</v>
      </c>
      <c r="H153" t="s">
        <v>39</v>
      </c>
      <c r="I153" t="s">
        <v>75</v>
      </c>
      <c r="J153" t="s">
        <v>67</v>
      </c>
      <c r="K153" t="s">
        <v>504</v>
      </c>
      <c r="L153">
        <v>7</v>
      </c>
      <c r="M153">
        <v>20998</v>
      </c>
      <c r="N153">
        <v>146986</v>
      </c>
      <c r="O153">
        <v>5</v>
      </c>
      <c r="P153">
        <v>7349.3</v>
      </c>
      <c r="Q153">
        <v>139636.70000000001</v>
      </c>
      <c r="R153" t="s">
        <v>90</v>
      </c>
      <c r="S153" t="s">
        <v>69</v>
      </c>
      <c r="T153">
        <v>22</v>
      </c>
      <c r="U153">
        <v>30720.074000000001</v>
      </c>
    </row>
    <row r="154" spans="1:21" x14ac:dyDescent="0.25">
      <c r="A154" t="s">
        <v>505</v>
      </c>
      <c r="B154" s="8">
        <v>45898</v>
      </c>
      <c r="C154" t="s">
        <v>92</v>
      </c>
      <c r="D154" t="s">
        <v>121</v>
      </c>
      <c r="E154" t="s">
        <v>36</v>
      </c>
      <c r="F154" t="s">
        <v>49</v>
      </c>
      <c r="G154" t="s">
        <v>26</v>
      </c>
      <c r="H154" t="s">
        <v>27</v>
      </c>
      <c r="I154" t="s">
        <v>101</v>
      </c>
      <c r="J154" t="s">
        <v>78</v>
      </c>
      <c r="K154" t="s">
        <v>506</v>
      </c>
      <c r="L154">
        <v>3</v>
      </c>
      <c r="M154">
        <v>28927</v>
      </c>
      <c r="N154">
        <v>86781</v>
      </c>
      <c r="O154">
        <v>0</v>
      </c>
      <c r="P154">
        <v>0</v>
      </c>
      <c r="Q154">
        <v>86781</v>
      </c>
      <c r="R154" t="s">
        <v>53</v>
      </c>
      <c r="S154" t="s">
        <v>69</v>
      </c>
      <c r="T154">
        <v>12</v>
      </c>
      <c r="U154">
        <v>10413.719999999999</v>
      </c>
    </row>
    <row r="155" spans="1:21" x14ac:dyDescent="0.25">
      <c r="A155" t="s">
        <v>507</v>
      </c>
      <c r="B155" s="8">
        <v>45995</v>
      </c>
      <c r="C155" t="s">
        <v>86</v>
      </c>
      <c r="D155" t="s">
        <v>508</v>
      </c>
      <c r="E155" t="s">
        <v>36</v>
      </c>
      <c r="F155" t="s">
        <v>94</v>
      </c>
      <c r="G155" t="s">
        <v>38</v>
      </c>
      <c r="H155" t="s">
        <v>27</v>
      </c>
      <c r="I155" t="s">
        <v>88</v>
      </c>
      <c r="J155" t="s">
        <v>67</v>
      </c>
      <c r="K155" t="s">
        <v>509</v>
      </c>
      <c r="L155">
        <v>6</v>
      </c>
      <c r="M155">
        <v>21460</v>
      </c>
      <c r="N155">
        <v>128760</v>
      </c>
      <c r="O155">
        <v>20</v>
      </c>
      <c r="P155">
        <v>25752</v>
      </c>
      <c r="Q155">
        <v>103008</v>
      </c>
      <c r="R155" t="s">
        <v>43</v>
      </c>
      <c r="S155" t="s">
        <v>32</v>
      </c>
      <c r="T155">
        <v>19</v>
      </c>
      <c r="U155">
        <v>19571.52</v>
      </c>
    </row>
    <row r="156" spans="1:21" x14ac:dyDescent="0.25">
      <c r="A156" t="s">
        <v>510</v>
      </c>
      <c r="B156" s="8">
        <v>45754</v>
      </c>
      <c r="C156" t="s">
        <v>34</v>
      </c>
      <c r="D156" t="s">
        <v>511</v>
      </c>
      <c r="E156" t="s">
        <v>24</v>
      </c>
      <c r="F156" t="s">
        <v>74</v>
      </c>
      <c r="G156" t="s">
        <v>66</v>
      </c>
      <c r="H156" t="s">
        <v>27</v>
      </c>
      <c r="I156" t="s">
        <v>28</v>
      </c>
      <c r="J156" t="s">
        <v>29</v>
      </c>
      <c r="K156" t="s">
        <v>512</v>
      </c>
      <c r="L156">
        <v>1</v>
      </c>
      <c r="M156">
        <v>566</v>
      </c>
      <c r="N156">
        <v>566</v>
      </c>
      <c r="O156">
        <v>10</v>
      </c>
      <c r="P156">
        <v>56.6</v>
      </c>
      <c r="Q156">
        <v>509.4</v>
      </c>
      <c r="R156" t="s">
        <v>31</v>
      </c>
      <c r="S156" t="s">
        <v>44</v>
      </c>
      <c r="T156">
        <v>28</v>
      </c>
      <c r="U156">
        <v>142.63200000000001</v>
      </c>
    </row>
    <row r="157" spans="1:21" x14ac:dyDescent="0.25">
      <c r="A157" t="s">
        <v>513</v>
      </c>
      <c r="B157" s="8">
        <v>45966</v>
      </c>
      <c r="C157" t="s">
        <v>63</v>
      </c>
      <c r="D157" t="s">
        <v>514</v>
      </c>
      <c r="E157" t="s">
        <v>24</v>
      </c>
      <c r="F157" t="s">
        <v>74</v>
      </c>
      <c r="G157" t="s">
        <v>38</v>
      </c>
      <c r="H157" t="s">
        <v>57</v>
      </c>
      <c r="I157" t="s">
        <v>28</v>
      </c>
      <c r="J157" t="s">
        <v>29</v>
      </c>
      <c r="K157" t="s">
        <v>515</v>
      </c>
      <c r="L157">
        <v>10</v>
      </c>
      <c r="M157">
        <v>21607</v>
      </c>
      <c r="N157">
        <v>216070</v>
      </c>
      <c r="O157">
        <v>0</v>
      </c>
      <c r="P157">
        <v>0</v>
      </c>
      <c r="Q157">
        <v>216070</v>
      </c>
      <c r="R157" t="s">
        <v>31</v>
      </c>
      <c r="S157" t="s">
        <v>32</v>
      </c>
      <c r="T157">
        <v>24</v>
      </c>
      <c r="U157">
        <v>51856.800000000003</v>
      </c>
    </row>
    <row r="158" spans="1:21" x14ac:dyDescent="0.25">
      <c r="A158" t="s">
        <v>516</v>
      </c>
      <c r="B158" s="8">
        <v>45909</v>
      </c>
      <c r="C158" t="s">
        <v>34</v>
      </c>
      <c r="D158" t="s">
        <v>517</v>
      </c>
      <c r="E158" t="s">
        <v>36</v>
      </c>
      <c r="F158" t="s">
        <v>37</v>
      </c>
      <c r="G158" t="s">
        <v>38</v>
      </c>
      <c r="H158" t="s">
        <v>57</v>
      </c>
      <c r="I158" t="s">
        <v>101</v>
      </c>
      <c r="J158" t="s">
        <v>67</v>
      </c>
      <c r="K158" t="s">
        <v>518</v>
      </c>
      <c r="L158">
        <v>1</v>
      </c>
      <c r="M158">
        <v>45044</v>
      </c>
      <c r="N158">
        <v>45044</v>
      </c>
      <c r="O158">
        <v>10</v>
      </c>
      <c r="P158">
        <v>4504.3999999999996</v>
      </c>
      <c r="Q158">
        <v>40539.599999999999</v>
      </c>
      <c r="R158" t="s">
        <v>31</v>
      </c>
      <c r="S158" t="s">
        <v>32</v>
      </c>
      <c r="T158">
        <v>26</v>
      </c>
      <c r="U158">
        <v>10540.296</v>
      </c>
    </row>
    <row r="159" spans="1:21" x14ac:dyDescent="0.25">
      <c r="A159" t="s">
        <v>519</v>
      </c>
      <c r="B159" s="8">
        <v>45994</v>
      </c>
      <c r="C159" t="s">
        <v>46</v>
      </c>
      <c r="D159" t="s">
        <v>520</v>
      </c>
      <c r="E159" t="s">
        <v>36</v>
      </c>
      <c r="F159" t="s">
        <v>25</v>
      </c>
      <c r="G159" t="s">
        <v>38</v>
      </c>
      <c r="H159" t="s">
        <v>27</v>
      </c>
      <c r="I159" t="s">
        <v>101</v>
      </c>
      <c r="J159" t="s">
        <v>51</v>
      </c>
      <c r="K159" t="s">
        <v>521</v>
      </c>
      <c r="L159">
        <v>1</v>
      </c>
      <c r="M159">
        <v>13906</v>
      </c>
      <c r="N159">
        <v>13906</v>
      </c>
      <c r="O159">
        <v>5</v>
      </c>
      <c r="P159">
        <v>695.3</v>
      </c>
      <c r="Q159">
        <v>13210.7</v>
      </c>
      <c r="R159" t="s">
        <v>53</v>
      </c>
      <c r="S159" t="s">
        <v>44</v>
      </c>
      <c r="T159">
        <v>5</v>
      </c>
      <c r="U159">
        <v>660.53499999999997</v>
      </c>
    </row>
    <row r="160" spans="1:21" x14ac:dyDescent="0.25">
      <c r="A160" t="s">
        <v>522</v>
      </c>
      <c r="B160" s="8">
        <v>45799</v>
      </c>
      <c r="C160" t="s">
        <v>147</v>
      </c>
      <c r="D160" t="s">
        <v>523</v>
      </c>
      <c r="E160" t="s">
        <v>73</v>
      </c>
      <c r="F160" t="s">
        <v>37</v>
      </c>
      <c r="G160" t="s">
        <v>26</v>
      </c>
      <c r="H160" t="s">
        <v>57</v>
      </c>
      <c r="I160" t="s">
        <v>40</v>
      </c>
      <c r="J160" t="s">
        <v>117</v>
      </c>
      <c r="K160" t="s">
        <v>524</v>
      </c>
      <c r="L160">
        <v>6</v>
      </c>
      <c r="M160">
        <v>29992</v>
      </c>
      <c r="N160">
        <v>179952</v>
      </c>
      <c r="O160">
        <v>10</v>
      </c>
      <c r="P160">
        <v>17995.2</v>
      </c>
      <c r="Q160">
        <v>161956.79999999999</v>
      </c>
      <c r="R160" t="s">
        <v>90</v>
      </c>
      <c r="S160" t="s">
        <v>32</v>
      </c>
      <c r="T160">
        <v>17</v>
      </c>
      <c r="U160">
        <v>27532.655999999999</v>
      </c>
    </row>
    <row r="161" spans="1:21" x14ac:dyDescent="0.25">
      <c r="A161" t="s">
        <v>525</v>
      </c>
      <c r="B161" s="8">
        <v>46012</v>
      </c>
      <c r="C161" t="s">
        <v>71</v>
      </c>
      <c r="D161" t="s">
        <v>363</v>
      </c>
      <c r="E161" t="s">
        <v>24</v>
      </c>
      <c r="F161" t="s">
        <v>83</v>
      </c>
      <c r="G161" t="s">
        <v>66</v>
      </c>
      <c r="H161" t="s">
        <v>27</v>
      </c>
      <c r="I161" t="s">
        <v>101</v>
      </c>
      <c r="J161" t="s">
        <v>29</v>
      </c>
      <c r="K161" t="s">
        <v>526</v>
      </c>
      <c r="L161">
        <v>4</v>
      </c>
      <c r="M161">
        <v>2545</v>
      </c>
      <c r="N161">
        <v>10180</v>
      </c>
      <c r="O161">
        <v>10</v>
      </c>
      <c r="P161">
        <v>1018</v>
      </c>
      <c r="Q161">
        <v>9162</v>
      </c>
      <c r="R161" t="s">
        <v>43</v>
      </c>
      <c r="S161" t="s">
        <v>44</v>
      </c>
      <c r="T161">
        <v>29</v>
      </c>
      <c r="U161">
        <v>2656.98</v>
      </c>
    </row>
    <row r="162" spans="1:21" x14ac:dyDescent="0.25">
      <c r="A162" t="s">
        <v>527</v>
      </c>
      <c r="B162" s="8">
        <v>45827</v>
      </c>
      <c r="C162" t="s">
        <v>63</v>
      </c>
      <c r="D162" t="s">
        <v>528</v>
      </c>
      <c r="E162" t="s">
        <v>24</v>
      </c>
      <c r="F162" t="s">
        <v>37</v>
      </c>
      <c r="G162" t="s">
        <v>66</v>
      </c>
      <c r="H162" t="s">
        <v>27</v>
      </c>
      <c r="I162" t="s">
        <v>101</v>
      </c>
      <c r="J162" t="s">
        <v>51</v>
      </c>
      <c r="K162" t="s">
        <v>529</v>
      </c>
      <c r="L162">
        <v>7</v>
      </c>
      <c r="M162">
        <v>3322</v>
      </c>
      <c r="N162">
        <v>23254</v>
      </c>
      <c r="O162">
        <v>10</v>
      </c>
      <c r="P162">
        <v>2325.4</v>
      </c>
      <c r="Q162">
        <v>20928.599999999999</v>
      </c>
      <c r="R162" t="s">
        <v>90</v>
      </c>
      <c r="S162" t="s">
        <v>32</v>
      </c>
      <c r="T162">
        <v>8</v>
      </c>
      <c r="U162">
        <v>1674.288</v>
      </c>
    </row>
    <row r="163" spans="1:21" x14ac:dyDescent="0.25">
      <c r="A163" t="s">
        <v>530</v>
      </c>
      <c r="B163" s="8">
        <v>45936</v>
      </c>
      <c r="C163" t="s">
        <v>120</v>
      </c>
      <c r="D163" t="s">
        <v>531</v>
      </c>
      <c r="E163" t="s">
        <v>36</v>
      </c>
      <c r="F163" t="s">
        <v>83</v>
      </c>
      <c r="G163" t="s">
        <v>38</v>
      </c>
      <c r="H163" t="s">
        <v>27</v>
      </c>
      <c r="I163" t="s">
        <v>40</v>
      </c>
      <c r="J163" t="s">
        <v>41</v>
      </c>
      <c r="K163" t="s">
        <v>532</v>
      </c>
      <c r="L163">
        <v>6</v>
      </c>
      <c r="M163">
        <v>23953</v>
      </c>
      <c r="N163">
        <v>143718</v>
      </c>
      <c r="O163">
        <v>20</v>
      </c>
      <c r="P163">
        <v>28743.599999999999</v>
      </c>
      <c r="Q163">
        <v>114974.39999999999</v>
      </c>
      <c r="R163" t="s">
        <v>31</v>
      </c>
      <c r="S163" t="s">
        <v>69</v>
      </c>
      <c r="T163">
        <v>9</v>
      </c>
      <c r="U163">
        <v>10347.696</v>
      </c>
    </row>
    <row r="164" spans="1:21" x14ac:dyDescent="0.25">
      <c r="A164" t="s">
        <v>533</v>
      </c>
      <c r="B164" s="8">
        <v>45979</v>
      </c>
      <c r="C164" t="s">
        <v>147</v>
      </c>
      <c r="D164" t="s">
        <v>211</v>
      </c>
      <c r="E164" t="s">
        <v>36</v>
      </c>
      <c r="F164" t="s">
        <v>49</v>
      </c>
      <c r="G164" t="s">
        <v>66</v>
      </c>
      <c r="H164" t="s">
        <v>27</v>
      </c>
      <c r="I164" t="s">
        <v>50</v>
      </c>
      <c r="J164" t="s">
        <v>67</v>
      </c>
      <c r="K164" t="s">
        <v>534</v>
      </c>
      <c r="L164">
        <v>5</v>
      </c>
      <c r="M164">
        <v>15089</v>
      </c>
      <c r="N164">
        <v>75445</v>
      </c>
      <c r="O164">
        <v>20</v>
      </c>
      <c r="P164">
        <v>15089</v>
      </c>
      <c r="Q164">
        <v>60356</v>
      </c>
      <c r="R164" t="s">
        <v>43</v>
      </c>
      <c r="S164" t="s">
        <v>44</v>
      </c>
      <c r="T164">
        <v>29</v>
      </c>
      <c r="U164">
        <v>17503.240000000002</v>
      </c>
    </row>
    <row r="165" spans="1:21" x14ac:dyDescent="0.25">
      <c r="A165" t="s">
        <v>535</v>
      </c>
      <c r="B165" s="8">
        <v>45769</v>
      </c>
      <c r="C165" t="s">
        <v>86</v>
      </c>
      <c r="D165" t="s">
        <v>536</v>
      </c>
      <c r="E165" t="s">
        <v>48</v>
      </c>
      <c r="F165" t="s">
        <v>25</v>
      </c>
      <c r="G165" t="s">
        <v>38</v>
      </c>
      <c r="H165" t="s">
        <v>39</v>
      </c>
      <c r="I165" t="s">
        <v>88</v>
      </c>
      <c r="J165" t="s">
        <v>41</v>
      </c>
      <c r="K165" t="s">
        <v>537</v>
      </c>
      <c r="L165">
        <v>7</v>
      </c>
      <c r="M165">
        <v>20621</v>
      </c>
      <c r="N165">
        <v>144347</v>
      </c>
      <c r="O165">
        <v>15</v>
      </c>
      <c r="P165">
        <v>21652.05</v>
      </c>
      <c r="Q165">
        <v>122694.95</v>
      </c>
      <c r="R165" t="s">
        <v>90</v>
      </c>
      <c r="S165" t="s">
        <v>32</v>
      </c>
      <c r="T165">
        <v>21</v>
      </c>
      <c r="U165">
        <v>25765.9395</v>
      </c>
    </row>
    <row r="166" spans="1:21" x14ac:dyDescent="0.25">
      <c r="A166" t="s">
        <v>538</v>
      </c>
      <c r="B166" s="8">
        <v>46005</v>
      </c>
      <c r="C166" t="s">
        <v>81</v>
      </c>
      <c r="D166" t="s">
        <v>539</v>
      </c>
      <c r="E166" t="s">
        <v>73</v>
      </c>
      <c r="F166" t="s">
        <v>56</v>
      </c>
      <c r="G166" t="s">
        <v>38</v>
      </c>
      <c r="H166" t="s">
        <v>57</v>
      </c>
      <c r="I166" t="s">
        <v>88</v>
      </c>
      <c r="J166" t="s">
        <v>41</v>
      </c>
      <c r="K166" t="s">
        <v>540</v>
      </c>
      <c r="L166">
        <v>7</v>
      </c>
      <c r="M166">
        <v>25699</v>
      </c>
      <c r="N166">
        <v>179893</v>
      </c>
      <c r="O166">
        <v>10</v>
      </c>
      <c r="P166">
        <v>17989.3</v>
      </c>
      <c r="Q166">
        <v>161903.70000000001</v>
      </c>
      <c r="R166" t="s">
        <v>31</v>
      </c>
      <c r="S166" t="s">
        <v>69</v>
      </c>
      <c r="T166">
        <v>25</v>
      </c>
      <c r="U166">
        <v>40475.925000000003</v>
      </c>
    </row>
    <row r="167" spans="1:21" x14ac:dyDescent="0.25">
      <c r="A167" t="s">
        <v>541</v>
      </c>
      <c r="B167" s="8">
        <v>45934</v>
      </c>
      <c r="C167" t="s">
        <v>81</v>
      </c>
      <c r="D167" t="s">
        <v>542</v>
      </c>
      <c r="E167" t="s">
        <v>73</v>
      </c>
      <c r="F167" t="s">
        <v>74</v>
      </c>
      <c r="G167" t="s">
        <v>66</v>
      </c>
      <c r="H167" t="s">
        <v>39</v>
      </c>
      <c r="I167" t="s">
        <v>40</v>
      </c>
      <c r="J167" t="s">
        <v>51</v>
      </c>
      <c r="K167" t="s">
        <v>543</v>
      </c>
      <c r="L167">
        <v>2</v>
      </c>
      <c r="M167">
        <v>22580</v>
      </c>
      <c r="N167">
        <v>45160</v>
      </c>
      <c r="O167">
        <v>5</v>
      </c>
      <c r="P167">
        <v>2258</v>
      </c>
      <c r="Q167">
        <v>42902</v>
      </c>
      <c r="R167" t="s">
        <v>53</v>
      </c>
      <c r="S167" t="s">
        <v>69</v>
      </c>
      <c r="T167">
        <v>19</v>
      </c>
      <c r="U167">
        <v>8151.38</v>
      </c>
    </row>
    <row r="168" spans="1:21" x14ac:dyDescent="0.25">
      <c r="A168" t="s">
        <v>544</v>
      </c>
      <c r="B168" s="8">
        <v>45750</v>
      </c>
      <c r="C168" t="s">
        <v>22</v>
      </c>
      <c r="D168" t="s">
        <v>545</v>
      </c>
      <c r="E168" t="s">
        <v>73</v>
      </c>
      <c r="F168" t="s">
        <v>37</v>
      </c>
      <c r="G168" t="s">
        <v>38</v>
      </c>
      <c r="H168" t="s">
        <v>27</v>
      </c>
      <c r="I168" t="s">
        <v>101</v>
      </c>
      <c r="J168" t="s">
        <v>117</v>
      </c>
      <c r="K168" t="s">
        <v>546</v>
      </c>
      <c r="L168">
        <v>7</v>
      </c>
      <c r="M168">
        <v>49212</v>
      </c>
      <c r="N168">
        <v>344484</v>
      </c>
      <c r="O168">
        <v>0</v>
      </c>
      <c r="P168">
        <v>0</v>
      </c>
      <c r="Q168">
        <v>344484</v>
      </c>
      <c r="R168" t="s">
        <v>31</v>
      </c>
      <c r="S168" t="s">
        <v>69</v>
      </c>
      <c r="T168">
        <v>12</v>
      </c>
      <c r="U168">
        <v>41338.080000000002</v>
      </c>
    </row>
    <row r="169" spans="1:21" x14ac:dyDescent="0.25">
      <c r="A169" t="s">
        <v>547</v>
      </c>
      <c r="B169" s="8">
        <v>45939</v>
      </c>
      <c r="C169" t="s">
        <v>63</v>
      </c>
      <c r="D169" t="s">
        <v>548</v>
      </c>
      <c r="E169" t="s">
        <v>73</v>
      </c>
      <c r="F169" t="s">
        <v>83</v>
      </c>
      <c r="G169" t="s">
        <v>26</v>
      </c>
      <c r="H169" t="s">
        <v>27</v>
      </c>
      <c r="I169" t="s">
        <v>101</v>
      </c>
      <c r="J169" t="s">
        <v>117</v>
      </c>
      <c r="K169" t="s">
        <v>549</v>
      </c>
      <c r="L169">
        <v>2</v>
      </c>
      <c r="M169">
        <v>17796</v>
      </c>
      <c r="N169">
        <v>35592</v>
      </c>
      <c r="O169">
        <v>15</v>
      </c>
      <c r="P169">
        <v>5338.8</v>
      </c>
      <c r="Q169">
        <v>30253.200000000001</v>
      </c>
      <c r="R169" t="s">
        <v>43</v>
      </c>
      <c r="S169" t="s">
        <v>69</v>
      </c>
      <c r="T169">
        <v>23</v>
      </c>
      <c r="U169">
        <v>6958.2359999999999</v>
      </c>
    </row>
    <row r="170" spans="1:21" x14ac:dyDescent="0.25">
      <c r="A170" t="s">
        <v>550</v>
      </c>
      <c r="B170" s="8">
        <v>46007</v>
      </c>
      <c r="C170" t="s">
        <v>81</v>
      </c>
      <c r="D170" t="s">
        <v>551</v>
      </c>
      <c r="E170" t="s">
        <v>36</v>
      </c>
      <c r="F170" t="s">
        <v>56</v>
      </c>
      <c r="G170" t="s">
        <v>26</v>
      </c>
      <c r="H170" t="s">
        <v>27</v>
      </c>
      <c r="I170" t="s">
        <v>50</v>
      </c>
      <c r="J170" t="s">
        <v>41</v>
      </c>
      <c r="K170" t="s">
        <v>552</v>
      </c>
      <c r="L170">
        <v>7</v>
      </c>
      <c r="M170">
        <v>22752</v>
      </c>
      <c r="N170">
        <v>159264</v>
      </c>
      <c r="O170">
        <v>0</v>
      </c>
      <c r="P170">
        <v>0</v>
      </c>
      <c r="Q170">
        <v>159264</v>
      </c>
      <c r="R170" t="s">
        <v>43</v>
      </c>
      <c r="S170" t="s">
        <v>32</v>
      </c>
      <c r="T170">
        <v>15</v>
      </c>
      <c r="U170">
        <v>23889.599999999999</v>
      </c>
    </row>
    <row r="171" spans="1:21" x14ac:dyDescent="0.25">
      <c r="A171" t="s">
        <v>553</v>
      </c>
      <c r="B171" s="8">
        <v>45990</v>
      </c>
      <c r="C171" t="s">
        <v>120</v>
      </c>
      <c r="D171" t="s">
        <v>554</v>
      </c>
      <c r="E171" t="s">
        <v>36</v>
      </c>
      <c r="F171" t="s">
        <v>74</v>
      </c>
      <c r="G171" t="s">
        <v>66</v>
      </c>
      <c r="H171" t="s">
        <v>27</v>
      </c>
      <c r="I171" t="s">
        <v>88</v>
      </c>
      <c r="J171" t="s">
        <v>67</v>
      </c>
      <c r="K171" t="s">
        <v>352</v>
      </c>
      <c r="L171">
        <v>8</v>
      </c>
      <c r="M171">
        <v>18023</v>
      </c>
      <c r="N171">
        <v>144184</v>
      </c>
      <c r="O171">
        <v>20</v>
      </c>
      <c r="P171">
        <v>28836.799999999999</v>
      </c>
      <c r="Q171">
        <v>115347.2</v>
      </c>
      <c r="R171" t="s">
        <v>53</v>
      </c>
      <c r="S171" t="s">
        <v>32</v>
      </c>
      <c r="T171">
        <v>10</v>
      </c>
      <c r="U171">
        <v>11534.72</v>
      </c>
    </row>
    <row r="172" spans="1:21" x14ac:dyDescent="0.25">
      <c r="A172" t="s">
        <v>555</v>
      </c>
      <c r="B172" s="8">
        <v>45792</v>
      </c>
      <c r="C172" t="s">
        <v>147</v>
      </c>
      <c r="D172" t="s">
        <v>556</v>
      </c>
      <c r="E172" t="s">
        <v>36</v>
      </c>
      <c r="F172" t="s">
        <v>74</v>
      </c>
      <c r="G172" t="s">
        <v>66</v>
      </c>
      <c r="H172" t="s">
        <v>57</v>
      </c>
      <c r="I172" t="s">
        <v>28</v>
      </c>
      <c r="J172" t="s">
        <v>41</v>
      </c>
      <c r="K172" t="s">
        <v>557</v>
      </c>
      <c r="L172">
        <v>1</v>
      </c>
      <c r="M172">
        <v>44419</v>
      </c>
      <c r="N172">
        <v>44419</v>
      </c>
      <c r="O172">
        <v>15</v>
      </c>
      <c r="P172">
        <v>6662.85</v>
      </c>
      <c r="Q172">
        <v>37756.15</v>
      </c>
      <c r="R172" t="s">
        <v>31</v>
      </c>
      <c r="S172" t="s">
        <v>69</v>
      </c>
      <c r="T172">
        <v>16</v>
      </c>
      <c r="U172">
        <v>6040.9840000000004</v>
      </c>
    </row>
    <row r="173" spans="1:21" x14ac:dyDescent="0.25">
      <c r="A173" t="s">
        <v>558</v>
      </c>
      <c r="B173" s="8">
        <v>45930</v>
      </c>
      <c r="C173" t="s">
        <v>71</v>
      </c>
      <c r="D173" t="s">
        <v>559</v>
      </c>
      <c r="E173" t="s">
        <v>73</v>
      </c>
      <c r="F173" t="s">
        <v>83</v>
      </c>
      <c r="G173" t="s">
        <v>38</v>
      </c>
      <c r="H173" t="s">
        <v>27</v>
      </c>
      <c r="I173" t="s">
        <v>28</v>
      </c>
      <c r="J173" t="s">
        <v>117</v>
      </c>
      <c r="K173" t="s">
        <v>560</v>
      </c>
      <c r="L173">
        <v>5</v>
      </c>
      <c r="M173">
        <v>39611</v>
      </c>
      <c r="N173">
        <v>198055</v>
      </c>
      <c r="O173">
        <v>10</v>
      </c>
      <c r="P173">
        <v>19805.5</v>
      </c>
      <c r="Q173">
        <v>178249.5</v>
      </c>
      <c r="R173" t="s">
        <v>43</v>
      </c>
      <c r="S173" t="s">
        <v>44</v>
      </c>
      <c r="T173">
        <v>22</v>
      </c>
      <c r="U173">
        <v>39214.89</v>
      </c>
    </row>
    <row r="174" spans="1:21" x14ac:dyDescent="0.25">
      <c r="A174" t="s">
        <v>561</v>
      </c>
      <c r="B174" s="8">
        <v>45835</v>
      </c>
      <c r="C174" t="s">
        <v>46</v>
      </c>
      <c r="D174" t="s">
        <v>562</v>
      </c>
      <c r="E174" t="s">
        <v>36</v>
      </c>
      <c r="F174" t="s">
        <v>83</v>
      </c>
      <c r="G174" t="s">
        <v>26</v>
      </c>
      <c r="H174" t="s">
        <v>39</v>
      </c>
      <c r="I174" t="s">
        <v>50</v>
      </c>
      <c r="J174" t="s">
        <v>117</v>
      </c>
      <c r="K174" t="s">
        <v>563</v>
      </c>
      <c r="L174">
        <v>4</v>
      </c>
      <c r="M174">
        <v>28368</v>
      </c>
      <c r="N174">
        <v>113472</v>
      </c>
      <c r="O174">
        <v>5</v>
      </c>
      <c r="P174">
        <v>5673.6</v>
      </c>
      <c r="Q174">
        <v>107798.39999999999</v>
      </c>
      <c r="R174" t="s">
        <v>53</v>
      </c>
      <c r="S174" t="s">
        <v>44</v>
      </c>
      <c r="T174">
        <v>28</v>
      </c>
      <c r="U174">
        <v>30183.552</v>
      </c>
    </row>
    <row r="175" spans="1:21" x14ac:dyDescent="0.25">
      <c r="A175" t="s">
        <v>564</v>
      </c>
      <c r="B175" s="8">
        <v>45916</v>
      </c>
      <c r="C175" t="s">
        <v>46</v>
      </c>
      <c r="D175" t="s">
        <v>565</v>
      </c>
      <c r="E175" t="s">
        <v>48</v>
      </c>
      <c r="F175" t="s">
        <v>65</v>
      </c>
      <c r="G175" t="s">
        <v>26</v>
      </c>
      <c r="H175" t="s">
        <v>57</v>
      </c>
      <c r="I175" t="s">
        <v>101</v>
      </c>
      <c r="J175" t="s">
        <v>67</v>
      </c>
      <c r="K175" t="s">
        <v>566</v>
      </c>
      <c r="L175">
        <v>10</v>
      </c>
      <c r="M175">
        <v>31942</v>
      </c>
      <c r="N175">
        <v>319420</v>
      </c>
      <c r="O175">
        <v>15</v>
      </c>
      <c r="P175">
        <v>47913</v>
      </c>
      <c r="Q175">
        <v>271507</v>
      </c>
      <c r="R175" t="s">
        <v>43</v>
      </c>
      <c r="S175" t="s">
        <v>32</v>
      </c>
      <c r="T175">
        <v>13</v>
      </c>
      <c r="U175">
        <v>35295.910000000003</v>
      </c>
    </row>
    <row r="176" spans="1:21" x14ac:dyDescent="0.25">
      <c r="A176" t="s">
        <v>567</v>
      </c>
      <c r="B176" s="8">
        <v>45883</v>
      </c>
      <c r="C176" t="s">
        <v>92</v>
      </c>
      <c r="D176" t="s">
        <v>568</v>
      </c>
      <c r="E176" t="s">
        <v>36</v>
      </c>
      <c r="F176" t="s">
        <v>65</v>
      </c>
      <c r="G176" t="s">
        <v>38</v>
      </c>
      <c r="H176" t="s">
        <v>39</v>
      </c>
      <c r="I176" t="s">
        <v>101</v>
      </c>
      <c r="J176" t="s">
        <v>67</v>
      </c>
      <c r="K176" t="s">
        <v>569</v>
      </c>
      <c r="L176">
        <v>4</v>
      </c>
      <c r="M176">
        <v>43784</v>
      </c>
      <c r="N176">
        <v>175136</v>
      </c>
      <c r="O176">
        <v>5</v>
      </c>
      <c r="P176">
        <v>8756.7999999999993</v>
      </c>
      <c r="Q176">
        <v>166379.20000000001</v>
      </c>
      <c r="R176" t="s">
        <v>43</v>
      </c>
      <c r="S176" t="s">
        <v>44</v>
      </c>
      <c r="T176">
        <v>15</v>
      </c>
      <c r="U176">
        <v>24956.880000000001</v>
      </c>
    </row>
    <row r="177" spans="1:21" x14ac:dyDescent="0.25">
      <c r="A177" t="s">
        <v>570</v>
      </c>
      <c r="B177" s="8">
        <v>45763</v>
      </c>
      <c r="C177" t="s">
        <v>120</v>
      </c>
      <c r="D177" t="s">
        <v>571</v>
      </c>
      <c r="E177" t="s">
        <v>48</v>
      </c>
      <c r="F177" t="s">
        <v>83</v>
      </c>
      <c r="G177" t="s">
        <v>38</v>
      </c>
      <c r="H177" t="s">
        <v>57</v>
      </c>
      <c r="I177" t="s">
        <v>101</v>
      </c>
      <c r="J177" t="s">
        <v>67</v>
      </c>
      <c r="K177" t="s">
        <v>572</v>
      </c>
      <c r="L177">
        <v>4</v>
      </c>
      <c r="M177">
        <v>18103</v>
      </c>
      <c r="N177">
        <v>72412</v>
      </c>
      <c r="O177">
        <v>0</v>
      </c>
      <c r="P177">
        <v>0</v>
      </c>
      <c r="Q177">
        <v>72412</v>
      </c>
      <c r="R177" t="s">
        <v>43</v>
      </c>
      <c r="S177" t="s">
        <v>32</v>
      </c>
      <c r="T177">
        <v>12</v>
      </c>
      <c r="U177">
        <v>8689.44</v>
      </c>
    </row>
    <row r="178" spans="1:21" x14ac:dyDescent="0.25">
      <c r="A178" t="s">
        <v>573</v>
      </c>
      <c r="B178" s="8">
        <v>45910</v>
      </c>
      <c r="C178" t="s">
        <v>147</v>
      </c>
      <c r="D178" t="s">
        <v>574</v>
      </c>
      <c r="E178" t="s">
        <v>48</v>
      </c>
      <c r="F178" t="s">
        <v>94</v>
      </c>
      <c r="G178" t="s">
        <v>26</v>
      </c>
      <c r="H178" t="s">
        <v>27</v>
      </c>
      <c r="I178" t="s">
        <v>75</v>
      </c>
      <c r="J178" t="s">
        <v>51</v>
      </c>
      <c r="K178" t="s">
        <v>575</v>
      </c>
      <c r="L178">
        <v>4</v>
      </c>
      <c r="M178">
        <v>25264</v>
      </c>
      <c r="N178">
        <v>101056</v>
      </c>
      <c r="O178">
        <v>5</v>
      </c>
      <c r="P178">
        <v>5052.8</v>
      </c>
      <c r="Q178">
        <v>96003.199999999997</v>
      </c>
      <c r="R178" t="s">
        <v>31</v>
      </c>
      <c r="S178" t="s">
        <v>44</v>
      </c>
      <c r="T178">
        <v>10</v>
      </c>
      <c r="U178">
        <v>9600.32</v>
      </c>
    </row>
    <row r="179" spans="1:21" x14ac:dyDescent="0.25">
      <c r="A179" t="s">
        <v>576</v>
      </c>
      <c r="B179" s="8">
        <v>45923</v>
      </c>
      <c r="C179" t="s">
        <v>147</v>
      </c>
      <c r="D179" t="s">
        <v>116</v>
      </c>
      <c r="E179" t="s">
        <v>24</v>
      </c>
      <c r="F179" t="s">
        <v>25</v>
      </c>
      <c r="G179" t="s">
        <v>38</v>
      </c>
      <c r="H179" t="s">
        <v>57</v>
      </c>
      <c r="I179" t="s">
        <v>75</v>
      </c>
      <c r="J179" t="s">
        <v>29</v>
      </c>
      <c r="K179" t="s">
        <v>577</v>
      </c>
      <c r="L179">
        <v>10</v>
      </c>
      <c r="M179">
        <v>4996</v>
      </c>
      <c r="N179">
        <v>49960</v>
      </c>
      <c r="O179">
        <v>0</v>
      </c>
      <c r="P179">
        <v>0</v>
      </c>
      <c r="Q179">
        <v>49960</v>
      </c>
      <c r="R179" t="s">
        <v>43</v>
      </c>
      <c r="S179" t="s">
        <v>44</v>
      </c>
      <c r="T179">
        <v>28</v>
      </c>
      <c r="U179">
        <v>13988.8</v>
      </c>
    </row>
    <row r="180" spans="1:21" x14ac:dyDescent="0.25">
      <c r="A180" t="s">
        <v>578</v>
      </c>
      <c r="B180" s="8">
        <v>45719</v>
      </c>
      <c r="C180" t="s">
        <v>120</v>
      </c>
      <c r="D180" t="s">
        <v>548</v>
      </c>
      <c r="E180" t="s">
        <v>73</v>
      </c>
      <c r="F180" t="s">
        <v>74</v>
      </c>
      <c r="G180" t="s">
        <v>26</v>
      </c>
      <c r="H180" t="s">
        <v>57</v>
      </c>
      <c r="I180" t="s">
        <v>75</v>
      </c>
      <c r="J180" t="s">
        <v>41</v>
      </c>
      <c r="K180" t="s">
        <v>579</v>
      </c>
      <c r="L180">
        <v>2</v>
      </c>
      <c r="M180">
        <v>7390</v>
      </c>
      <c r="N180">
        <v>14780</v>
      </c>
      <c r="O180">
        <v>0</v>
      </c>
      <c r="P180">
        <v>0</v>
      </c>
      <c r="Q180">
        <v>14780</v>
      </c>
      <c r="R180" t="s">
        <v>53</v>
      </c>
      <c r="S180" t="s">
        <v>69</v>
      </c>
      <c r="T180">
        <v>30</v>
      </c>
      <c r="U180">
        <v>4434</v>
      </c>
    </row>
    <row r="181" spans="1:21" x14ac:dyDescent="0.25">
      <c r="A181" t="s">
        <v>580</v>
      </c>
      <c r="B181" s="8">
        <v>45721</v>
      </c>
      <c r="C181" t="s">
        <v>120</v>
      </c>
      <c r="D181" t="s">
        <v>581</v>
      </c>
      <c r="E181" t="s">
        <v>24</v>
      </c>
      <c r="F181" t="s">
        <v>65</v>
      </c>
      <c r="G181" t="s">
        <v>26</v>
      </c>
      <c r="H181" t="s">
        <v>39</v>
      </c>
      <c r="I181" t="s">
        <v>28</v>
      </c>
      <c r="J181" t="s">
        <v>67</v>
      </c>
      <c r="K181" t="s">
        <v>582</v>
      </c>
      <c r="L181">
        <v>2</v>
      </c>
      <c r="M181">
        <v>47688</v>
      </c>
      <c r="N181">
        <v>95376</v>
      </c>
      <c r="O181">
        <v>20</v>
      </c>
      <c r="P181">
        <v>19075.2</v>
      </c>
      <c r="Q181">
        <v>76300.800000000003</v>
      </c>
      <c r="R181" t="s">
        <v>43</v>
      </c>
      <c r="S181" t="s">
        <v>32</v>
      </c>
      <c r="T181">
        <v>17</v>
      </c>
      <c r="U181">
        <v>12971.136</v>
      </c>
    </row>
    <row r="182" spans="1:21" x14ac:dyDescent="0.25">
      <c r="A182" t="s">
        <v>583</v>
      </c>
      <c r="B182" s="8">
        <v>45700</v>
      </c>
      <c r="C182" t="s">
        <v>147</v>
      </c>
      <c r="D182" t="s">
        <v>584</v>
      </c>
      <c r="E182" t="s">
        <v>48</v>
      </c>
      <c r="F182" t="s">
        <v>56</v>
      </c>
      <c r="G182" t="s">
        <v>26</v>
      </c>
      <c r="H182" t="s">
        <v>57</v>
      </c>
      <c r="I182" t="s">
        <v>28</v>
      </c>
      <c r="J182" t="s">
        <v>67</v>
      </c>
      <c r="K182" t="s">
        <v>585</v>
      </c>
      <c r="L182">
        <v>6</v>
      </c>
      <c r="M182">
        <v>7888</v>
      </c>
      <c r="N182">
        <v>47328</v>
      </c>
      <c r="O182">
        <v>0</v>
      </c>
      <c r="P182">
        <v>0</v>
      </c>
      <c r="Q182">
        <v>47328</v>
      </c>
      <c r="R182" t="s">
        <v>43</v>
      </c>
      <c r="S182" t="s">
        <v>32</v>
      </c>
      <c r="T182">
        <v>25</v>
      </c>
      <c r="U182">
        <v>11832</v>
      </c>
    </row>
    <row r="183" spans="1:21" x14ac:dyDescent="0.25">
      <c r="A183" t="s">
        <v>586</v>
      </c>
      <c r="B183" s="8">
        <v>45783</v>
      </c>
      <c r="C183" t="s">
        <v>34</v>
      </c>
      <c r="D183" t="s">
        <v>587</v>
      </c>
      <c r="E183" t="s">
        <v>73</v>
      </c>
      <c r="F183" t="s">
        <v>83</v>
      </c>
      <c r="G183" t="s">
        <v>66</v>
      </c>
      <c r="H183" t="s">
        <v>39</v>
      </c>
      <c r="I183" t="s">
        <v>50</v>
      </c>
      <c r="J183" t="s">
        <v>51</v>
      </c>
      <c r="K183" t="s">
        <v>588</v>
      </c>
      <c r="L183">
        <v>9</v>
      </c>
      <c r="M183">
        <v>14560</v>
      </c>
      <c r="N183">
        <v>131040</v>
      </c>
      <c r="O183">
        <v>20</v>
      </c>
      <c r="P183">
        <v>26208</v>
      </c>
      <c r="Q183">
        <v>104832</v>
      </c>
      <c r="R183" t="s">
        <v>53</v>
      </c>
      <c r="S183" t="s">
        <v>69</v>
      </c>
      <c r="T183">
        <v>28</v>
      </c>
      <c r="U183">
        <v>29352.959999999999</v>
      </c>
    </row>
    <row r="184" spans="1:21" x14ac:dyDescent="0.25">
      <c r="A184" t="s">
        <v>589</v>
      </c>
      <c r="B184" s="8">
        <v>45801</v>
      </c>
      <c r="C184" t="s">
        <v>34</v>
      </c>
      <c r="D184" t="s">
        <v>590</v>
      </c>
      <c r="E184" t="s">
        <v>73</v>
      </c>
      <c r="F184" t="s">
        <v>83</v>
      </c>
      <c r="G184" t="s">
        <v>26</v>
      </c>
      <c r="H184" t="s">
        <v>27</v>
      </c>
      <c r="I184" t="s">
        <v>50</v>
      </c>
      <c r="J184" t="s">
        <v>29</v>
      </c>
      <c r="K184" t="s">
        <v>591</v>
      </c>
      <c r="L184">
        <v>8</v>
      </c>
      <c r="M184">
        <v>7242</v>
      </c>
      <c r="N184">
        <v>57936</v>
      </c>
      <c r="O184">
        <v>20</v>
      </c>
      <c r="P184">
        <v>11587.2</v>
      </c>
      <c r="Q184">
        <v>46348.800000000003</v>
      </c>
      <c r="R184" t="s">
        <v>43</v>
      </c>
      <c r="S184" t="s">
        <v>69</v>
      </c>
      <c r="T184">
        <v>26</v>
      </c>
      <c r="U184">
        <v>12050.688</v>
      </c>
    </row>
    <row r="185" spans="1:21" x14ac:dyDescent="0.25">
      <c r="A185" t="s">
        <v>592</v>
      </c>
      <c r="B185" s="8">
        <v>45896</v>
      </c>
      <c r="C185" t="s">
        <v>120</v>
      </c>
      <c r="D185" t="s">
        <v>593</v>
      </c>
      <c r="E185" t="s">
        <v>24</v>
      </c>
      <c r="F185" t="s">
        <v>37</v>
      </c>
      <c r="G185" t="s">
        <v>38</v>
      </c>
      <c r="H185" t="s">
        <v>27</v>
      </c>
      <c r="I185" t="s">
        <v>75</v>
      </c>
      <c r="J185" t="s">
        <v>29</v>
      </c>
      <c r="K185" t="s">
        <v>594</v>
      </c>
      <c r="L185">
        <v>7</v>
      </c>
      <c r="M185">
        <v>19997</v>
      </c>
      <c r="N185">
        <v>139979</v>
      </c>
      <c r="O185">
        <v>20</v>
      </c>
      <c r="P185">
        <v>27995.8</v>
      </c>
      <c r="Q185">
        <v>111983.2</v>
      </c>
      <c r="R185" t="s">
        <v>31</v>
      </c>
      <c r="S185" t="s">
        <v>44</v>
      </c>
      <c r="T185">
        <v>9</v>
      </c>
      <c r="U185">
        <v>10078.487999999999</v>
      </c>
    </row>
    <row r="186" spans="1:21" x14ac:dyDescent="0.25">
      <c r="A186" t="s">
        <v>595</v>
      </c>
      <c r="B186" s="8">
        <v>45710</v>
      </c>
      <c r="C186" t="s">
        <v>46</v>
      </c>
      <c r="D186" t="s">
        <v>596</v>
      </c>
      <c r="E186" t="s">
        <v>73</v>
      </c>
      <c r="F186" t="s">
        <v>37</v>
      </c>
      <c r="G186" t="s">
        <v>38</v>
      </c>
      <c r="H186" t="s">
        <v>39</v>
      </c>
      <c r="I186" t="s">
        <v>50</v>
      </c>
      <c r="J186" t="s">
        <v>51</v>
      </c>
      <c r="K186" t="s">
        <v>597</v>
      </c>
      <c r="L186">
        <v>7</v>
      </c>
      <c r="M186">
        <v>21631</v>
      </c>
      <c r="N186">
        <v>151417</v>
      </c>
      <c r="O186">
        <v>15</v>
      </c>
      <c r="P186">
        <v>22712.55</v>
      </c>
      <c r="Q186">
        <v>128704.45</v>
      </c>
      <c r="R186" t="s">
        <v>43</v>
      </c>
      <c r="S186" t="s">
        <v>32</v>
      </c>
      <c r="T186">
        <v>27</v>
      </c>
      <c r="U186">
        <v>34750.201500000003</v>
      </c>
    </row>
    <row r="187" spans="1:21" x14ac:dyDescent="0.25">
      <c r="A187" t="s">
        <v>598</v>
      </c>
      <c r="B187" s="8">
        <v>45852</v>
      </c>
      <c r="C187" t="s">
        <v>34</v>
      </c>
      <c r="D187" t="s">
        <v>599</v>
      </c>
      <c r="E187" t="s">
        <v>36</v>
      </c>
      <c r="F187" t="s">
        <v>74</v>
      </c>
      <c r="G187" t="s">
        <v>38</v>
      </c>
      <c r="H187" t="s">
        <v>39</v>
      </c>
      <c r="I187" t="s">
        <v>40</v>
      </c>
      <c r="J187" t="s">
        <v>117</v>
      </c>
      <c r="K187" t="s">
        <v>600</v>
      </c>
      <c r="L187">
        <v>4</v>
      </c>
      <c r="M187">
        <v>18395</v>
      </c>
      <c r="N187">
        <v>73580</v>
      </c>
      <c r="O187">
        <v>0</v>
      </c>
      <c r="P187">
        <v>0</v>
      </c>
      <c r="Q187">
        <v>73580</v>
      </c>
      <c r="R187" t="s">
        <v>43</v>
      </c>
      <c r="S187" t="s">
        <v>32</v>
      </c>
      <c r="T187">
        <v>12</v>
      </c>
      <c r="U187">
        <v>8829.6</v>
      </c>
    </row>
    <row r="188" spans="1:21" x14ac:dyDescent="0.25">
      <c r="A188" t="s">
        <v>601</v>
      </c>
      <c r="B188" s="8">
        <v>45927</v>
      </c>
      <c r="C188" t="s">
        <v>34</v>
      </c>
      <c r="D188" t="s">
        <v>602</v>
      </c>
      <c r="E188" t="s">
        <v>24</v>
      </c>
      <c r="F188" t="s">
        <v>65</v>
      </c>
      <c r="G188" t="s">
        <v>38</v>
      </c>
      <c r="H188" t="s">
        <v>27</v>
      </c>
      <c r="I188" t="s">
        <v>88</v>
      </c>
      <c r="J188" t="s">
        <v>41</v>
      </c>
      <c r="K188" t="s">
        <v>603</v>
      </c>
      <c r="L188">
        <v>9</v>
      </c>
      <c r="M188">
        <v>35348</v>
      </c>
      <c r="N188">
        <v>318132</v>
      </c>
      <c r="O188">
        <v>15</v>
      </c>
      <c r="P188">
        <v>47719.8</v>
      </c>
      <c r="Q188">
        <v>270412.2</v>
      </c>
      <c r="R188" t="s">
        <v>53</v>
      </c>
      <c r="S188" t="s">
        <v>69</v>
      </c>
      <c r="T188">
        <v>8</v>
      </c>
      <c r="U188">
        <v>21632.975999999999</v>
      </c>
    </row>
    <row r="189" spans="1:21" x14ac:dyDescent="0.25">
      <c r="A189" t="s">
        <v>604</v>
      </c>
      <c r="B189" s="8">
        <v>45735</v>
      </c>
      <c r="C189" t="s">
        <v>22</v>
      </c>
      <c r="D189" t="s">
        <v>605</v>
      </c>
      <c r="E189" t="s">
        <v>24</v>
      </c>
      <c r="F189" t="s">
        <v>65</v>
      </c>
      <c r="G189" t="s">
        <v>66</v>
      </c>
      <c r="H189" t="s">
        <v>57</v>
      </c>
      <c r="I189" t="s">
        <v>88</v>
      </c>
      <c r="J189" t="s">
        <v>67</v>
      </c>
      <c r="K189" t="s">
        <v>606</v>
      </c>
      <c r="L189">
        <v>7</v>
      </c>
      <c r="M189">
        <v>33799</v>
      </c>
      <c r="N189">
        <v>236593</v>
      </c>
      <c r="O189">
        <v>5</v>
      </c>
      <c r="P189">
        <v>11829.65</v>
      </c>
      <c r="Q189">
        <v>224763.35</v>
      </c>
      <c r="R189" t="s">
        <v>43</v>
      </c>
      <c r="S189" t="s">
        <v>69</v>
      </c>
      <c r="T189">
        <v>29</v>
      </c>
      <c r="U189">
        <v>65181.371500000001</v>
      </c>
    </row>
    <row r="190" spans="1:21" x14ac:dyDescent="0.25">
      <c r="A190" t="s">
        <v>607</v>
      </c>
      <c r="B190" s="8">
        <v>45659</v>
      </c>
      <c r="C190" t="s">
        <v>120</v>
      </c>
      <c r="D190" t="s">
        <v>608</v>
      </c>
      <c r="E190" t="s">
        <v>73</v>
      </c>
      <c r="F190" t="s">
        <v>74</v>
      </c>
      <c r="G190" t="s">
        <v>38</v>
      </c>
      <c r="H190" t="s">
        <v>57</v>
      </c>
      <c r="I190" t="s">
        <v>28</v>
      </c>
      <c r="J190" t="s">
        <v>51</v>
      </c>
      <c r="K190" t="s">
        <v>609</v>
      </c>
      <c r="L190">
        <v>6</v>
      </c>
      <c r="M190">
        <v>22160</v>
      </c>
      <c r="N190">
        <v>132960</v>
      </c>
      <c r="O190">
        <v>10</v>
      </c>
      <c r="P190">
        <v>13296</v>
      </c>
      <c r="Q190">
        <v>119664</v>
      </c>
      <c r="R190" t="s">
        <v>31</v>
      </c>
      <c r="S190" t="s">
        <v>69</v>
      </c>
      <c r="T190">
        <v>15</v>
      </c>
      <c r="U190">
        <v>17949.599999999999</v>
      </c>
    </row>
    <row r="191" spans="1:21" x14ac:dyDescent="0.25">
      <c r="A191" t="s">
        <v>610</v>
      </c>
      <c r="B191" s="8">
        <v>45727</v>
      </c>
      <c r="C191" t="s">
        <v>120</v>
      </c>
      <c r="D191" t="s">
        <v>611</v>
      </c>
      <c r="E191" t="s">
        <v>73</v>
      </c>
      <c r="F191" t="s">
        <v>25</v>
      </c>
      <c r="G191" t="s">
        <v>26</v>
      </c>
      <c r="H191" t="s">
        <v>27</v>
      </c>
      <c r="I191" t="s">
        <v>50</v>
      </c>
      <c r="J191" t="s">
        <v>67</v>
      </c>
      <c r="K191" t="s">
        <v>612</v>
      </c>
      <c r="L191">
        <v>4</v>
      </c>
      <c r="M191">
        <v>20908</v>
      </c>
      <c r="N191">
        <v>83632</v>
      </c>
      <c r="O191">
        <v>0</v>
      </c>
      <c r="P191">
        <v>0</v>
      </c>
      <c r="Q191">
        <v>83632</v>
      </c>
      <c r="R191" t="s">
        <v>90</v>
      </c>
      <c r="S191" t="s">
        <v>69</v>
      </c>
      <c r="T191">
        <v>8</v>
      </c>
      <c r="U191">
        <v>6690.56</v>
      </c>
    </row>
    <row r="192" spans="1:21" x14ac:dyDescent="0.25">
      <c r="A192" t="s">
        <v>613</v>
      </c>
      <c r="B192" s="8">
        <v>45749</v>
      </c>
      <c r="C192" t="s">
        <v>46</v>
      </c>
      <c r="D192" t="s">
        <v>614</v>
      </c>
      <c r="E192" t="s">
        <v>36</v>
      </c>
      <c r="F192" t="s">
        <v>83</v>
      </c>
      <c r="G192" t="s">
        <v>38</v>
      </c>
      <c r="H192" t="s">
        <v>27</v>
      </c>
      <c r="I192" t="s">
        <v>50</v>
      </c>
      <c r="J192" t="s">
        <v>51</v>
      </c>
      <c r="K192" t="s">
        <v>615</v>
      </c>
      <c r="L192">
        <v>1</v>
      </c>
      <c r="M192">
        <v>42000</v>
      </c>
      <c r="N192">
        <v>42000</v>
      </c>
      <c r="O192">
        <v>20</v>
      </c>
      <c r="P192">
        <v>8400</v>
      </c>
      <c r="Q192">
        <v>33600</v>
      </c>
      <c r="R192" t="s">
        <v>53</v>
      </c>
      <c r="S192" t="s">
        <v>44</v>
      </c>
      <c r="T192">
        <v>21</v>
      </c>
      <c r="U192">
        <v>7056</v>
      </c>
    </row>
    <row r="193" spans="1:21" x14ac:dyDescent="0.25">
      <c r="A193" t="s">
        <v>616</v>
      </c>
      <c r="B193" s="8">
        <v>45667</v>
      </c>
      <c r="C193" t="s">
        <v>92</v>
      </c>
      <c r="D193" t="s">
        <v>617</v>
      </c>
      <c r="E193" t="s">
        <v>24</v>
      </c>
      <c r="F193" t="s">
        <v>83</v>
      </c>
      <c r="G193" t="s">
        <v>26</v>
      </c>
      <c r="H193" t="s">
        <v>39</v>
      </c>
      <c r="I193" t="s">
        <v>75</v>
      </c>
      <c r="J193" t="s">
        <v>78</v>
      </c>
      <c r="K193" t="s">
        <v>618</v>
      </c>
      <c r="L193">
        <v>6</v>
      </c>
      <c r="M193">
        <v>21926</v>
      </c>
      <c r="N193">
        <v>131556</v>
      </c>
      <c r="O193">
        <v>0</v>
      </c>
      <c r="P193">
        <v>0</v>
      </c>
      <c r="Q193">
        <v>131556</v>
      </c>
      <c r="R193" t="s">
        <v>53</v>
      </c>
      <c r="S193" t="s">
        <v>44</v>
      </c>
      <c r="T193">
        <v>24</v>
      </c>
      <c r="U193">
        <v>31573.439999999999</v>
      </c>
    </row>
    <row r="194" spans="1:21" x14ac:dyDescent="0.25">
      <c r="A194" t="s">
        <v>619</v>
      </c>
      <c r="B194" s="8">
        <v>45722</v>
      </c>
      <c r="C194" t="s">
        <v>22</v>
      </c>
      <c r="D194" t="s">
        <v>620</v>
      </c>
      <c r="E194" t="s">
        <v>73</v>
      </c>
      <c r="F194" t="s">
        <v>25</v>
      </c>
      <c r="G194" t="s">
        <v>66</v>
      </c>
      <c r="H194" t="s">
        <v>27</v>
      </c>
      <c r="I194" t="s">
        <v>40</v>
      </c>
      <c r="J194" t="s">
        <v>67</v>
      </c>
      <c r="K194" t="s">
        <v>621</v>
      </c>
      <c r="L194">
        <v>10</v>
      </c>
      <c r="M194">
        <v>39986</v>
      </c>
      <c r="N194">
        <v>399860</v>
      </c>
      <c r="O194">
        <v>5</v>
      </c>
      <c r="P194">
        <v>19993</v>
      </c>
      <c r="Q194">
        <v>379867</v>
      </c>
      <c r="R194" t="s">
        <v>43</v>
      </c>
      <c r="S194" t="s">
        <v>44</v>
      </c>
      <c r="T194">
        <v>19</v>
      </c>
      <c r="U194">
        <v>72174.73</v>
      </c>
    </row>
    <row r="195" spans="1:21" x14ac:dyDescent="0.25">
      <c r="A195" t="s">
        <v>622</v>
      </c>
      <c r="B195" s="8">
        <v>45709</v>
      </c>
      <c r="C195" t="s">
        <v>147</v>
      </c>
      <c r="D195" t="s">
        <v>623</v>
      </c>
      <c r="E195" t="s">
        <v>73</v>
      </c>
      <c r="F195" t="s">
        <v>94</v>
      </c>
      <c r="G195" t="s">
        <v>26</v>
      </c>
      <c r="H195" t="s">
        <v>57</v>
      </c>
      <c r="I195" t="s">
        <v>50</v>
      </c>
      <c r="J195" t="s">
        <v>78</v>
      </c>
      <c r="K195" t="s">
        <v>624</v>
      </c>
      <c r="L195">
        <v>5</v>
      </c>
      <c r="M195">
        <v>45166</v>
      </c>
      <c r="N195">
        <v>225830</v>
      </c>
      <c r="O195">
        <v>20</v>
      </c>
      <c r="P195">
        <v>45166</v>
      </c>
      <c r="Q195">
        <v>180664</v>
      </c>
      <c r="R195" t="s">
        <v>53</v>
      </c>
      <c r="S195" t="s">
        <v>32</v>
      </c>
      <c r="T195">
        <v>28</v>
      </c>
      <c r="U195">
        <v>50585.919999999998</v>
      </c>
    </row>
    <row r="196" spans="1:21" x14ac:dyDescent="0.25">
      <c r="A196" t="s">
        <v>625</v>
      </c>
      <c r="B196" s="8">
        <v>45997</v>
      </c>
      <c r="C196" t="s">
        <v>46</v>
      </c>
      <c r="D196" t="s">
        <v>470</v>
      </c>
      <c r="E196" t="s">
        <v>36</v>
      </c>
      <c r="F196" t="s">
        <v>25</v>
      </c>
      <c r="G196" t="s">
        <v>26</v>
      </c>
      <c r="H196" t="s">
        <v>39</v>
      </c>
      <c r="I196" t="s">
        <v>101</v>
      </c>
      <c r="J196" t="s">
        <v>41</v>
      </c>
      <c r="K196" t="s">
        <v>626</v>
      </c>
      <c r="L196">
        <v>4</v>
      </c>
      <c r="M196">
        <v>21072</v>
      </c>
      <c r="N196">
        <v>84288</v>
      </c>
      <c r="O196">
        <v>15</v>
      </c>
      <c r="P196">
        <v>12643.2</v>
      </c>
      <c r="Q196">
        <v>71644.800000000003</v>
      </c>
      <c r="R196" t="s">
        <v>90</v>
      </c>
      <c r="S196" t="s">
        <v>44</v>
      </c>
      <c r="T196">
        <v>7</v>
      </c>
      <c r="U196">
        <v>5015.1360000000004</v>
      </c>
    </row>
    <row r="197" spans="1:21" x14ac:dyDescent="0.25">
      <c r="A197" t="s">
        <v>627</v>
      </c>
      <c r="B197" s="8">
        <v>45804</v>
      </c>
      <c r="C197" t="s">
        <v>86</v>
      </c>
      <c r="D197" t="s">
        <v>628</v>
      </c>
      <c r="E197" t="s">
        <v>48</v>
      </c>
      <c r="F197" t="s">
        <v>65</v>
      </c>
      <c r="G197" t="s">
        <v>66</v>
      </c>
      <c r="H197" t="s">
        <v>39</v>
      </c>
      <c r="I197" t="s">
        <v>75</v>
      </c>
      <c r="J197" t="s">
        <v>51</v>
      </c>
      <c r="K197" t="s">
        <v>629</v>
      </c>
      <c r="L197">
        <v>6</v>
      </c>
      <c r="M197">
        <v>24574</v>
      </c>
      <c r="N197">
        <v>147444</v>
      </c>
      <c r="O197">
        <v>20</v>
      </c>
      <c r="P197">
        <v>29488.799999999999</v>
      </c>
      <c r="Q197">
        <v>117955.2</v>
      </c>
      <c r="R197" t="s">
        <v>53</v>
      </c>
      <c r="S197" t="s">
        <v>44</v>
      </c>
      <c r="T197">
        <v>24</v>
      </c>
      <c r="U197">
        <v>28309.248</v>
      </c>
    </row>
    <row r="198" spans="1:21" x14ac:dyDescent="0.25">
      <c r="A198" t="s">
        <v>630</v>
      </c>
      <c r="B198" s="8">
        <v>46007</v>
      </c>
      <c r="C198" t="s">
        <v>34</v>
      </c>
      <c r="D198" t="s">
        <v>631</v>
      </c>
      <c r="E198" t="s">
        <v>36</v>
      </c>
      <c r="F198" t="s">
        <v>25</v>
      </c>
      <c r="G198" t="s">
        <v>66</v>
      </c>
      <c r="H198" t="s">
        <v>27</v>
      </c>
      <c r="I198" t="s">
        <v>88</v>
      </c>
      <c r="J198" t="s">
        <v>51</v>
      </c>
      <c r="K198" t="s">
        <v>632</v>
      </c>
      <c r="L198">
        <v>9</v>
      </c>
      <c r="M198">
        <v>18963</v>
      </c>
      <c r="N198">
        <v>170667</v>
      </c>
      <c r="O198">
        <v>10</v>
      </c>
      <c r="P198">
        <v>17066.7</v>
      </c>
      <c r="Q198">
        <v>153600.29999999999</v>
      </c>
      <c r="R198" t="s">
        <v>90</v>
      </c>
      <c r="S198" t="s">
        <v>69</v>
      </c>
      <c r="T198">
        <v>20</v>
      </c>
      <c r="U198">
        <v>30720.06</v>
      </c>
    </row>
    <row r="199" spans="1:21" x14ac:dyDescent="0.25">
      <c r="A199" t="s">
        <v>633</v>
      </c>
      <c r="B199" s="8">
        <v>45761</v>
      </c>
      <c r="C199" t="s">
        <v>71</v>
      </c>
      <c r="D199" t="s">
        <v>634</v>
      </c>
      <c r="E199" t="s">
        <v>24</v>
      </c>
      <c r="F199" t="s">
        <v>83</v>
      </c>
      <c r="G199" t="s">
        <v>66</v>
      </c>
      <c r="H199" t="s">
        <v>39</v>
      </c>
      <c r="I199" t="s">
        <v>40</v>
      </c>
      <c r="J199" t="s">
        <v>67</v>
      </c>
      <c r="K199" t="s">
        <v>635</v>
      </c>
      <c r="L199">
        <v>5</v>
      </c>
      <c r="M199">
        <v>45865</v>
      </c>
      <c r="N199">
        <v>229325</v>
      </c>
      <c r="O199">
        <v>20</v>
      </c>
      <c r="P199">
        <v>45865</v>
      </c>
      <c r="Q199">
        <v>183460</v>
      </c>
      <c r="R199" t="s">
        <v>31</v>
      </c>
      <c r="S199" t="s">
        <v>32</v>
      </c>
      <c r="T199">
        <v>19</v>
      </c>
      <c r="U199">
        <v>34857.4</v>
      </c>
    </row>
    <row r="200" spans="1:21" x14ac:dyDescent="0.25">
      <c r="A200" t="s">
        <v>636</v>
      </c>
      <c r="B200" s="8">
        <v>45965</v>
      </c>
      <c r="C200" t="s">
        <v>46</v>
      </c>
      <c r="D200" t="s">
        <v>637</v>
      </c>
      <c r="E200" t="s">
        <v>48</v>
      </c>
      <c r="F200" t="s">
        <v>74</v>
      </c>
      <c r="G200" t="s">
        <v>66</v>
      </c>
      <c r="H200" t="s">
        <v>39</v>
      </c>
      <c r="I200" t="s">
        <v>40</v>
      </c>
      <c r="J200" t="s">
        <v>117</v>
      </c>
      <c r="K200" t="s">
        <v>638</v>
      </c>
      <c r="L200">
        <v>1</v>
      </c>
      <c r="M200">
        <v>23633</v>
      </c>
      <c r="N200">
        <v>23633</v>
      </c>
      <c r="O200">
        <v>5</v>
      </c>
      <c r="P200">
        <v>1181.6500000000001</v>
      </c>
      <c r="Q200">
        <v>22451.35</v>
      </c>
      <c r="R200" t="s">
        <v>53</v>
      </c>
      <c r="S200" t="s">
        <v>32</v>
      </c>
      <c r="T200">
        <v>7</v>
      </c>
      <c r="U200">
        <v>1571.5944999999999</v>
      </c>
    </row>
    <row r="201" spans="1:21" x14ac:dyDescent="0.25">
      <c r="A201" t="s">
        <v>639</v>
      </c>
      <c r="B201" s="8">
        <v>45829</v>
      </c>
      <c r="C201" t="s">
        <v>92</v>
      </c>
      <c r="D201" t="s">
        <v>389</v>
      </c>
      <c r="E201" t="s">
        <v>24</v>
      </c>
      <c r="F201" t="s">
        <v>65</v>
      </c>
      <c r="G201" t="s">
        <v>38</v>
      </c>
      <c r="H201" t="s">
        <v>57</v>
      </c>
      <c r="I201" t="s">
        <v>28</v>
      </c>
      <c r="J201" t="s">
        <v>67</v>
      </c>
      <c r="K201" t="s">
        <v>640</v>
      </c>
      <c r="L201">
        <v>3</v>
      </c>
      <c r="M201">
        <v>22719</v>
      </c>
      <c r="N201">
        <v>68157</v>
      </c>
      <c r="O201">
        <v>10</v>
      </c>
      <c r="P201">
        <v>6815.7</v>
      </c>
      <c r="Q201">
        <v>61341.3</v>
      </c>
      <c r="R201" t="s">
        <v>90</v>
      </c>
      <c r="S201" t="s">
        <v>32</v>
      </c>
      <c r="T201">
        <v>10</v>
      </c>
      <c r="U201">
        <v>6134.13</v>
      </c>
    </row>
    <row r="202" spans="1:21" x14ac:dyDescent="0.25">
      <c r="A202" t="s">
        <v>641</v>
      </c>
      <c r="B202" s="8">
        <v>45766</v>
      </c>
      <c r="C202" t="s">
        <v>86</v>
      </c>
      <c r="D202" t="s">
        <v>642</v>
      </c>
      <c r="E202" t="s">
        <v>73</v>
      </c>
      <c r="F202" t="s">
        <v>49</v>
      </c>
      <c r="G202" t="s">
        <v>66</v>
      </c>
      <c r="H202" t="s">
        <v>27</v>
      </c>
      <c r="I202" t="s">
        <v>101</v>
      </c>
      <c r="J202" t="s">
        <v>41</v>
      </c>
      <c r="K202" t="s">
        <v>643</v>
      </c>
      <c r="L202">
        <v>8</v>
      </c>
      <c r="M202">
        <v>7271</v>
      </c>
      <c r="N202">
        <v>58168</v>
      </c>
      <c r="O202">
        <v>20</v>
      </c>
      <c r="P202">
        <v>11633.6</v>
      </c>
      <c r="Q202">
        <v>46534.400000000001</v>
      </c>
      <c r="R202" t="s">
        <v>90</v>
      </c>
      <c r="S202" t="s">
        <v>32</v>
      </c>
      <c r="T202">
        <v>11</v>
      </c>
      <c r="U202">
        <v>5118.7840000000006</v>
      </c>
    </row>
    <row r="203" spans="1:21" x14ac:dyDescent="0.25">
      <c r="A203" t="s">
        <v>644</v>
      </c>
      <c r="B203" s="8">
        <v>45817</v>
      </c>
      <c r="C203" t="s">
        <v>46</v>
      </c>
      <c r="D203" t="s">
        <v>528</v>
      </c>
      <c r="E203" t="s">
        <v>48</v>
      </c>
      <c r="F203" t="s">
        <v>65</v>
      </c>
      <c r="G203" t="s">
        <v>26</v>
      </c>
      <c r="H203" t="s">
        <v>27</v>
      </c>
      <c r="I203" t="s">
        <v>50</v>
      </c>
      <c r="J203" t="s">
        <v>78</v>
      </c>
      <c r="K203" t="s">
        <v>645</v>
      </c>
      <c r="L203">
        <v>3</v>
      </c>
      <c r="M203">
        <v>16014</v>
      </c>
      <c r="N203">
        <v>48042</v>
      </c>
      <c r="O203">
        <v>5</v>
      </c>
      <c r="P203">
        <v>2402.1</v>
      </c>
      <c r="Q203">
        <v>45639.9</v>
      </c>
      <c r="R203" t="s">
        <v>43</v>
      </c>
      <c r="S203" t="s">
        <v>44</v>
      </c>
      <c r="T203">
        <v>19</v>
      </c>
      <c r="U203">
        <v>8671.5810000000001</v>
      </c>
    </row>
    <row r="204" spans="1:21" x14ac:dyDescent="0.25">
      <c r="A204" t="s">
        <v>646</v>
      </c>
      <c r="B204" s="8">
        <v>45756</v>
      </c>
      <c r="C204" t="s">
        <v>86</v>
      </c>
      <c r="D204" t="s">
        <v>647</v>
      </c>
      <c r="E204" t="s">
        <v>73</v>
      </c>
      <c r="F204" t="s">
        <v>56</v>
      </c>
      <c r="G204" t="s">
        <v>38</v>
      </c>
      <c r="H204" t="s">
        <v>39</v>
      </c>
      <c r="I204" t="s">
        <v>40</v>
      </c>
      <c r="J204" t="s">
        <v>41</v>
      </c>
      <c r="K204" t="s">
        <v>79</v>
      </c>
      <c r="L204">
        <v>8</v>
      </c>
      <c r="M204">
        <v>27485</v>
      </c>
      <c r="N204">
        <v>219880</v>
      </c>
      <c r="O204">
        <v>20</v>
      </c>
      <c r="P204">
        <v>43976</v>
      </c>
      <c r="Q204">
        <v>175904</v>
      </c>
      <c r="R204" t="s">
        <v>43</v>
      </c>
      <c r="S204" t="s">
        <v>32</v>
      </c>
      <c r="T204">
        <v>12</v>
      </c>
      <c r="U204">
        <v>21108.48</v>
      </c>
    </row>
    <row r="205" spans="1:21" x14ac:dyDescent="0.25">
      <c r="A205" t="s">
        <v>648</v>
      </c>
      <c r="B205" s="8">
        <v>45995</v>
      </c>
      <c r="C205" t="s">
        <v>22</v>
      </c>
      <c r="D205" t="s">
        <v>649</v>
      </c>
      <c r="E205" t="s">
        <v>24</v>
      </c>
      <c r="F205" t="s">
        <v>56</v>
      </c>
      <c r="G205" t="s">
        <v>38</v>
      </c>
      <c r="H205" t="s">
        <v>57</v>
      </c>
      <c r="I205" t="s">
        <v>40</v>
      </c>
      <c r="J205" t="s">
        <v>78</v>
      </c>
      <c r="K205" t="s">
        <v>650</v>
      </c>
      <c r="L205">
        <v>7</v>
      </c>
      <c r="M205">
        <v>34849</v>
      </c>
      <c r="N205">
        <v>243943</v>
      </c>
      <c r="O205">
        <v>10</v>
      </c>
      <c r="P205">
        <v>24394.3</v>
      </c>
      <c r="Q205">
        <v>219548.7</v>
      </c>
      <c r="R205" t="s">
        <v>53</v>
      </c>
      <c r="S205" t="s">
        <v>44</v>
      </c>
      <c r="T205">
        <v>26</v>
      </c>
      <c r="U205">
        <v>57082.661999999997</v>
      </c>
    </row>
    <row r="206" spans="1:21" x14ac:dyDescent="0.25">
      <c r="A206" t="s">
        <v>651</v>
      </c>
      <c r="B206" s="8">
        <v>45741</v>
      </c>
      <c r="C206" t="s">
        <v>22</v>
      </c>
      <c r="D206" t="s">
        <v>652</v>
      </c>
      <c r="E206" t="s">
        <v>48</v>
      </c>
      <c r="F206" t="s">
        <v>74</v>
      </c>
      <c r="G206" t="s">
        <v>38</v>
      </c>
      <c r="H206" t="s">
        <v>39</v>
      </c>
      <c r="I206" t="s">
        <v>75</v>
      </c>
      <c r="J206" t="s">
        <v>41</v>
      </c>
      <c r="K206" t="s">
        <v>653</v>
      </c>
      <c r="L206">
        <v>9</v>
      </c>
      <c r="M206">
        <v>14419</v>
      </c>
      <c r="N206">
        <v>129771</v>
      </c>
      <c r="O206">
        <v>10</v>
      </c>
      <c r="P206">
        <v>12977.1</v>
      </c>
      <c r="Q206">
        <v>116793.9</v>
      </c>
      <c r="R206" t="s">
        <v>43</v>
      </c>
      <c r="S206" t="s">
        <v>44</v>
      </c>
      <c r="T206">
        <v>11</v>
      </c>
      <c r="U206">
        <v>12847.329</v>
      </c>
    </row>
    <row r="207" spans="1:21" x14ac:dyDescent="0.25">
      <c r="A207" t="s">
        <v>654</v>
      </c>
      <c r="B207" s="8">
        <v>45836</v>
      </c>
      <c r="C207" t="s">
        <v>71</v>
      </c>
      <c r="D207" t="s">
        <v>655</v>
      </c>
      <c r="E207" t="s">
        <v>73</v>
      </c>
      <c r="F207" t="s">
        <v>37</v>
      </c>
      <c r="G207" t="s">
        <v>26</v>
      </c>
      <c r="H207" t="s">
        <v>27</v>
      </c>
      <c r="I207" t="s">
        <v>40</v>
      </c>
      <c r="J207" t="s">
        <v>78</v>
      </c>
      <c r="K207" t="s">
        <v>656</v>
      </c>
      <c r="L207">
        <v>7</v>
      </c>
      <c r="M207">
        <v>8890</v>
      </c>
      <c r="N207">
        <v>62230</v>
      </c>
      <c r="O207">
        <v>15</v>
      </c>
      <c r="P207">
        <v>9334.5</v>
      </c>
      <c r="Q207">
        <v>52895.5</v>
      </c>
      <c r="R207" t="s">
        <v>43</v>
      </c>
      <c r="S207" t="s">
        <v>69</v>
      </c>
      <c r="T207">
        <v>18</v>
      </c>
      <c r="U207">
        <v>9521.19</v>
      </c>
    </row>
    <row r="208" spans="1:21" x14ac:dyDescent="0.25">
      <c r="A208" t="s">
        <v>657</v>
      </c>
      <c r="B208" s="8">
        <v>45868</v>
      </c>
      <c r="C208" t="s">
        <v>120</v>
      </c>
      <c r="D208" t="s">
        <v>658</v>
      </c>
      <c r="E208" t="s">
        <v>36</v>
      </c>
      <c r="F208" t="s">
        <v>65</v>
      </c>
      <c r="G208" t="s">
        <v>26</v>
      </c>
      <c r="H208" t="s">
        <v>39</v>
      </c>
      <c r="I208" t="s">
        <v>88</v>
      </c>
      <c r="J208" t="s">
        <v>51</v>
      </c>
      <c r="K208" t="s">
        <v>659</v>
      </c>
      <c r="L208">
        <v>7</v>
      </c>
      <c r="M208">
        <v>18425</v>
      </c>
      <c r="N208">
        <v>128975</v>
      </c>
      <c r="O208">
        <v>10</v>
      </c>
      <c r="P208">
        <v>12897.5</v>
      </c>
      <c r="Q208">
        <v>116077.5</v>
      </c>
      <c r="R208" t="s">
        <v>31</v>
      </c>
      <c r="S208" t="s">
        <v>69</v>
      </c>
      <c r="T208">
        <v>13</v>
      </c>
      <c r="U208">
        <v>15090.075000000001</v>
      </c>
    </row>
    <row r="209" spans="1:21" x14ac:dyDescent="0.25">
      <c r="A209" t="s">
        <v>660</v>
      </c>
      <c r="B209" s="8">
        <v>45939</v>
      </c>
      <c r="C209" t="s">
        <v>120</v>
      </c>
      <c r="D209" t="s">
        <v>661</v>
      </c>
      <c r="E209" t="s">
        <v>48</v>
      </c>
      <c r="F209" t="s">
        <v>94</v>
      </c>
      <c r="G209" t="s">
        <v>26</v>
      </c>
      <c r="H209" t="s">
        <v>39</v>
      </c>
      <c r="I209" t="s">
        <v>40</v>
      </c>
      <c r="J209" t="s">
        <v>51</v>
      </c>
      <c r="K209" t="s">
        <v>662</v>
      </c>
      <c r="L209">
        <v>9</v>
      </c>
      <c r="M209">
        <v>47838</v>
      </c>
      <c r="N209">
        <v>430542</v>
      </c>
      <c r="O209">
        <v>5</v>
      </c>
      <c r="P209">
        <v>21527.1</v>
      </c>
      <c r="Q209">
        <v>409014.9</v>
      </c>
      <c r="R209" t="s">
        <v>90</v>
      </c>
      <c r="S209" t="s">
        <v>44</v>
      </c>
      <c r="T209">
        <v>15</v>
      </c>
      <c r="U209">
        <v>61352.235000000001</v>
      </c>
    </row>
    <row r="210" spans="1:21" x14ac:dyDescent="0.25">
      <c r="A210" t="s">
        <v>663</v>
      </c>
      <c r="B210" s="8">
        <v>45744</v>
      </c>
      <c r="C210" t="s">
        <v>46</v>
      </c>
      <c r="D210" t="s">
        <v>664</v>
      </c>
      <c r="E210" t="s">
        <v>73</v>
      </c>
      <c r="F210" t="s">
        <v>83</v>
      </c>
      <c r="G210" t="s">
        <v>66</v>
      </c>
      <c r="H210" t="s">
        <v>57</v>
      </c>
      <c r="I210" t="s">
        <v>88</v>
      </c>
      <c r="J210" t="s">
        <v>51</v>
      </c>
      <c r="K210" t="s">
        <v>665</v>
      </c>
      <c r="L210">
        <v>3</v>
      </c>
      <c r="M210">
        <v>21216</v>
      </c>
      <c r="N210">
        <v>63648</v>
      </c>
      <c r="O210">
        <v>20</v>
      </c>
      <c r="P210">
        <v>12729.6</v>
      </c>
      <c r="Q210">
        <v>50918.400000000001</v>
      </c>
      <c r="R210" t="s">
        <v>53</v>
      </c>
      <c r="S210" t="s">
        <v>44</v>
      </c>
      <c r="T210">
        <v>9</v>
      </c>
      <c r="U210">
        <v>4582.6559999999999</v>
      </c>
    </row>
    <row r="211" spans="1:21" x14ac:dyDescent="0.25">
      <c r="A211" t="s">
        <v>666</v>
      </c>
      <c r="B211" s="8">
        <v>45926</v>
      </c>
      <c r="C211" t="s">
        <v>46</v>
      </c>
      <c r="D211" t="s">
        <v>667</v>
      </c>
      <c r="E211" t="s">
        <v>48</v>
      </c>
      <c r="F211" t="s">
        <v>94</v>
      </c>
      <c r="G211" t="s">
        <v>38</v>
      </c>
      <c r="H211" t="s">
        <v>39</v>
      </c>
      <c r="I211" t="s">
        <v>75</v>
      </c>
      <c r="J211" t="s">
        <v>117</v>
      </c>
      <c r="K211" t="s">
        <v>668</v>
      </c>
      <c r="L211">
        <v>10</v>
      </c>
      <c r="M211">
        <v>45311</v>
      </c>
      <c r="N211">
        <v>453110</v>
      </c>
      <c r="O211">
        <v>20</v>
      </c>
      <c r="P211">
        <v>90622</v>
      </c>
      <c r="Q211">
        <v>362488</v>
      </c>
      <c r="R211" t="s">
        <v>43</v>
      </c>
      <c r="S211" t="s">
        <v>44</v>
      </c>
      <c r="T211">
        <v>10</v>
      </c>
      <c r="U211">
        <v>36248.800000000003</v>
      </c>
    </row>
    <row r="212" spans="1:21" x14ac:dyDescent="0.25">
      <c r="A212" t="s">
        <v>669</v>
      </c>
      <c r="B212" s="8">
        <v>45671</v>
      </c>
      <c r="C212" t="s">
        <v>34</v>
      </c>
      <c r="D212" t="s">
        <v>670</v>
      </c>
      <c r="E212" t="s">
        <v>73</v>
      </c>
      <c r="F212" t="s">
        <v>49</v>
      </c>
      <c r="G212" t="s">
        <v>66</v>
      </c>
      <c r="H212" t="s">
        <v>27</v>
      </c>
      <c r="I212" t="s">
        <v>28</v>
      </c>
      <c r="J212" t="s">
        <v>29</v>
      </c>
      <c r="K212" t="s">
        <v>671</v>
      </c>
      <c r="L212">
        <v>3</v>
      </c>
      <c r="M212">
        <v>41119</v>
      </c>
      <c r="N212">
        <v>123357</v>
      </c>
      <c r="O212">
        <v>0</v>
      </c>
      <c r="P212">
        <v>0</v>
      </c>
      <c r="Q212">
        <v>123357</v>
      </c>
      <c r="R212" t="s">
        <v>53</v>
      </c>
      <c r="S212" t="s">
        <v>32</v>
      </c>
      <c r="T212">
        <v>21</v>
      </c>
      <c r="U212">
        <v>25904.97</v>
      </c>
    </row>
    <row r="213" spans="1:21" x14ac:dyDescent="0.25">
      <c r="A213" t="s">
        <v>672</v>
      </c>
      <c r="B213" s="8">
        <v>45684</v>
      </c>
      <c r="C213" t="s">
        <v>147</v>
      </c>
      <c r="D213" t="s">
        <v>444</v>
      </c>
      <c r="E213" t="s">
        <v>24</v>
      </c>
      <c r="F213" t="s">
        <v>74</v>
      </c>
      <c r="G213" t="s">
        <v>38</v>
      </c>
      <c r="H213" t="s">
        <v>39</v>
      </c>
      <c r="I213" t="s">
        <v>88</v>
      </c>
      <c r="J213" t="s">
        <v>41</v>
      </c>
      <c r="K213" t="s">
        <v>673</v>
      </c>
      <c r="L213">
        <v>3</v>
      </c>
      <c r="M213">
        <v>14105</v>
      </c>
      <c r="N213">
        <v>42315</v>
      </c>
      <c r="O213">
        <v>15</v>
      </c>
      <c r="P213">
        <v>6347.25</v>
      </c>
      <c r="Q213">
        <v>35967.75</v>
      </c>
      <c r="R213" t="s">
        <v>43</v>
      </c>
      <c r="S213" t="s">
        <v>32</v>
      </c>
      <c r="T213">
        <v>7</v>
      </c>
      <c r="U213">
        <v>2517.7424999999998</v>
      </c>
    </row>
    <row r="214" spans="1:21" x14ac:dyDescent="0.25">
      <c r="A214" t="s">
        <v>674</v>
      </c>
      <c r="B214" s="8">
        <v>45909</v>
      </c>
      <c r="C214" t="s">
        <v>81</v>
      </c>
      <c r="D214" t="s">
        <v>675</v>
      </c>
      <c r="E214" t="s">
        <v>36</v>
      </c>
      <c r="F214" t="s">
        <v>94</v>
      </c>
      <c r="G214" t="s">
        <v>38</v>
      </c>
      <c r="H214" t="s">
        <v>57</v>
      </c>
      <c r="I214" t="s">
        <v>101</v>
      </c>
      <c r="J214" t="s">
        <v>78</v>
      </c>
      <c r="K214" t="s">
        <v>676</v>
      </c>
      <c r="L214">
        <v>1</v>
      </c>
      <c r="M214">
        <v>41684</v>
      </c>
      <c r="N214">
        <v>41684</v>
      </c>
      <c r="O214">
        <v>15</v>
      </c>
      <c r="P214">
        <v>6252.6</v>
      </c>
      <c r="Q214">
        <v>35431.4</v>
      </c>
      <c r="R214" t="s">
        <v>90</v>
      </c>
      <c r="S214" t="s">
        <v>32</v>
      </c>
      <c r="T214">
        <v>29</v>
      </c>
      <c r="U214">
        <v>10275.106</v>
      </c>
    </row>
    <row r="215" spans="1:21" x14ac:dyDescent="0.25">
      <c r="A215" t="s">
        <v>677</v>
      </c>
      <c r="B215" s="8">
        <v>45782</v>
      </c>
      <c r="C215" t="s">
        <v>34</v>
      </c>
      <c r="D215" t="s">
        <v>678</v>
      </c>
      <c r="E215" t="s">
        <v>48</v>
      </c>
      <c r="F215" t="s">
        <v>94</v>
      </c>
      <c r="G215" t="s">
        <v>26</v>
      </c>
      <c r="H215" t="s">
        <v>57</v>
      </c>
      <c r="I215" t="s">
        <v>88</v>
      </c>
      <c r="J215" t="s">
        <v>67</v>
      </c>
      <c r="K215" t="s">
        <v>679</v>
      </c>
      <c r="L215">
        <v>1</v>
      </c>
      <c r="M215">
        <v>19581</v>
      </c>
      <c r="N215">
        <v>19581</v>
      </c>
      <c r="O215">
        <v>20</v>
      </c>
      <c r="P215">
        <v>3916.2</v>
      </c>
      <c r="Q215">
        <v>15664.8</v>
      </c>
      <c r="R215" t="s">
        <v>90</v>
      </c>
      <c r="S215" t="s">
        <v>69</v>
      </c>
      <c r="T215">
        <v>18</v>
      </c>
      <c r="U215">
        <v>2819.6640000000002</v>
      </c>
    </row>
    <row r="216" spans="1:21" x14ac:dyDescent="0.25">
      <c r="A216" t="s">
        <v>680</v>
      </c>
      <c r="B216" s="8">
        <v>45979</v>
      </c>
      <c r="C216" t="s">
        <v>63</v>
      </c>
      <c r="D216" t="s">
        <v>523</v>
      </c>
      <c r="E216" t="s">
        <v>48</v>
      </c>
      <c r="F216" t="s">
        <v>56</v>
      </c>
      <c r="G216" t="s">
        <v>66</v>
      </c>
      <c r="H216" t="s">
        <v>57</v>
      </c>
      <c r="I216" t="s">
        <v>75</v>
      </c>
      <c r="J216" t="s">
        <v>41</v>
      </c>
      <c r="K216" t="s">
        <v>681</v>
      </c>
      <c r="L216">
        <v>9</v>
      </c>
      <c r="M216">
        <v>31047</v>
      </c>
      <c r="N216">
        <v>279423</v>
      </c>
      <c r="O216">
        <v>10</v>
      </c>
      <c r="P216">
        <v>27942.3</v>
      </c>
      <c r="Q216">
        <v>251480.7</v>
      </c>
      <c r="R216" t="s">
        <v>43</v>
      </c>
      <c r="S216" t="s">
        <v>69</v>
      </c>
      <c r="T216">
        <v>20</v>
      </c>
      <c r="U216">
        <v>50296.14</v>
      </c>
    </row>
    <row r="217" spans="1:21" x14ac:dyDescent="0.25">
      <c r="A217" t="s">
        <v>682</v>
      </c>
      <c r="B217" s="8">
        <v>45903</v>
      </c>
      <c r="C217" t="s">
        <v>63</v>
      </c>
      <c r="D217" t="s">
        <v>683</v>
      </c>
      <c r="E217" t="s">
        <v>36</v>
      </c>
      <c r="F217" t="s">
        <v>94</v>
      </c>
      <c r="G217" t="s">
        <v>66</v>
      </c>
      <c r="H217" t="s">
        <v>57</v>
      </c>
      <c r="I217" t="s">
        <v>75</v>
      </c>
      <c r="J217" t="s">
        <v>51</v>
      </c>
      <c r="K217" t="s">
        <v>684</v>
      </c>
      <c r="L217">
        <v>10</v>
      </c>
      <c r="M217">
        <v>40819</v>
      </c>
      <c r="N217">
        <v>408190</v>
      </c>
      <c r="O217">
        <v>5</v>
      </c>
      <c r="P217">
        <v>20409.5</v>
      </c>
      <c r="Q217">
        <v>387780.5</v>
      </c>
      <c r="R217" t="s">
        <v>53</v>
      </c>
      <c r="S217" t="s">
        <v>44</v>
      </c>
      <c r="T217">
        <v>7</v>
      </c>
      <c r="U217">
        <v>27144.634999999998</v>
      </c>
    </row>
    <row r="218" spans="1:21" x14ac:dyDescent="0.25">
      <c r="A218" t="s">
        <v>685</v>
      </c>
      <c r="B218" s="8">
        <v>45717</v>
      </c>
      <c r="C218" t="s">
        <v>34</v>
      </c>
      <c r="D218" t="s">
        <v>686</v>
      </c>
      <c r="E218" t="s">
        <v>36</v>
      </c>
      <c r="F218" t="s">
        <v>94</v>
      </c>
      <c r="G218" t="s">
        <v>66</v>
      </c>
      <c r="H218" t="s">
        <v>57</v>
      </c>
      <c r="I218" t="s">
        <v>28</v>
      </c>
      <c r="J218" t="s">
        <v>29</v>
      </c>
      <c r="K218" t="s">
        <v>687</v>
      </c>
      <c r="L218">
        <v>6</v>
      </c>
      <c r="M218">
        <v>9510</v>
      </c>
      <c r="N218">
        <v>57060</v>
      </c>
      <c r="O218">
        <v>5</v>
      </c>
      <c r="P218">
        <v>2853</v>
      </c>
      <c r="Q218">
        <v>54207</v>
      </c>
      <c r="R218" t="s">
        <v>43</v>
      </c>
      <c r="S218" t="s">
        <v>32</v>
      </c>
      <c r="T218">
        <v>6</v>
      </c>
      <c r="U218">
        <v>3252.42</v>
      </c>
    </row>
    <row r="219" spans="1:21" x14ac:dyDescent="0.25">
      <c r="A219" t="s">
        <v>688</v>
      </c>
      <c r="B219" s="8">
        <v>45824</v>
      </c>
      <c r="C219" t="s">
        <v>147</v>
      </c>
      <c r="D219" t="s">
        <v>689</v>
      </c>
      <c r="E219" t="s">
        <v>73</v>
      </c>
      <c r="F219" t="s">
        <v>37</v>
      </c>
      <c r="G219" t="s">
        <v>26</v>
      </c>
      <c r="H219" t="s">
        <v>39</v>
      </c>
      <c r="I219" t="s">
        <v>50</v>
      </c>
      <c r="J219" t="s">
        <v>29</v>
      </c>
      <c r="K219" t="s">
        <v>690</v>
      </c>
      <c r="L219">
        <v>2</v>
      </c>
      <c r="M219">
        <v>46026</v>
      </c>
      <c r="N219">
        <v>92052</v>
      </c>
      <c r="O219">
        <v>0</v>
      </c>
      <c r="P219">
        <v>0</v>
      </c>
      <c r="Q219">
        <v>92052</v>
      </c>
      <c r="R219" t="s">
        <v>90</v>
      </c>
      <c r="S219" t="s">
        <v>44</v>
      </c>
      <c r="T219">
        <v>15</v>
      </c>
      <c r="U219">
        <v>13807.8</v>
      </c>
    </row>
    <row r="220" spans="1:21" x14ac:dyDescent="0.25">
      <c r="A220" t="s">
        <v>691</v>
      </c>
      <c r="B220" s="8">
        <v>45778</v>
      </c>
      <c r="C220" t="s">
        <v>81</v>
      </c>
      <c r="D220" t="s">
        <v>692</v>
      </c>
      <c r="E220" t="s">
        <v>24</v>
      </c>
      <c r="F220" t="s">
        <v>94</v>
      </c>
      <c r="G220" t="s">
        <v>26</v>
      </c>
      <c r="H220" t="s">
        <v>27</v>
      </c>
      <c r="I220" t="s">
        <v>28</v>
      </c>
      <c r="J220" t="s">
        <v>78</v>
      </c>
      <c r="K220" t="s">
        <v>693</v>
      </c>
      <c r="L220">
        <v>6</v>
      </c>
      <c r="M220">
        <v>22358</v>
      </c>
      <c r="N220">
        <v>134148</v>
      </c>
      <c r="O220">
        <v>20</v>
      </c>
      <c r="P220">
        <v>26829.599999999999</v>
      </c>
      <c r="Q220">
        <v>107318.39999999999</v>
      </c>
      <c r="R220" t="s">
        <v>90</v>
      </c>
      <c r="S220" t="s">
        <v>44</v>
      </c>
      <c r="T220">
        <v>27</v>
      </c>
      <c r="U220">
        <v>28975.968000000001</v>
      </c>
    </row>
    <row r="221" spans="1:21" x14ac:dyDescent="0.25">
      <c r="A221" t="s">
        <v>694</v>
      </c>
      <c r="B221" s="8">
        <v>45679</v>
      </c>
      <c r="C221" t="s">
        <v>63</v>
      </c>
      <c r="D221" t="s">
        <v>664</v>
      </c>
      <c r="E221" t="s">
        <v>36</v>
      </c>
      <c r="F221" t="s">
        <v>94</v>
      </c>
      <c r="G221" t="s">
        <v>66</v>
      </c>
      <c r="H221" t="s">
        <v>39</v>
      </c>
      <c r="I221" t="s">
        <v>40</v>
      </c>
      <c r="J221" t="s">
        <v>29</v>
      </c>
      <c r="K221" t="s">
        <v>695</v>
      </c>
      <c r="L221">
        <v>2</v>
      </c>
      <c r="M221">
        <v>6159</v>
      </c>
      <c r="N221">
        <v>12318</v>
      </c>
      <c r="O221">
        <v>15</v>
      </c>
      <c r="P221">
        <v>1847.7</v>
      </c>
      <c r="Q221">
        <v>10470.299999999999</v>
      </c>
      <c r="R221" t="s">
        <v>53</v>
      </c>
      <c r="S221" t="s">
        <v>44</v>
      </c>
      <c r="T221">
        <v>5</v>
      </c>
      <c r="U221">
        <v>523.51499999999999</v>
      </c>
    </row>
    <row r="222" spans="1:21" x14ac:dyDescent="0.25">
      <c r="A222" t="s">
        <v>696</v>
      </c>
      <c r="B222" s="8">
        <v>45663</v>
      </c>
      <c r="C222" t="s">
        <v>147</v>
      </c>
      <c r="D222" t="s">
        <v>667</v>
      </c>
      <c r="E222" t="s">
        <v>24</v>
      </c>
      <c r="F222" t="s">
        <v>49</v>
      </c>
      <c r="G222" t="s">
        <v>38</v>
      </c>
      <c r="H222" t="s">
        <v>39</v>
      </c>
      <c r="I222" t="s">
        <v>101</v>
      </c>
      <c r="J222" t="s">
        <v>78</v>
      </c>
      <c r="K222" t="s">
        <v>697</v>
      </c>
      <c r="L222">
        <v>4</v>
      </c>
      <c r="M222">
        <v>22942</v>
      </c>
      <c r="N222">
        <v>91768</v>
      </c>
      <c r="O222">
        <v>15</v>
      </c>
      <c r="P222">
        <v>13765.2</v>
      </c>
      <c r="Q222">
        <v>78002.8</v>
      </c>
      <c r="R222" t="s">
        <v>90</v>
      </c>
      <c r="S222" t="s">
        <v>44</v>
      </c>
      <c r="T222">
        <v>23</v>
      </c>
      <c r="U222">
        <v>17940.644</v>
      </c>
    </row>
    <row r="223" spans="1:21" x14ac:dyDescent="0.25">
      <c r="A223" t="s">
        <v>698</v>
      </c>
      <c r="B223" s="8">
        <v>45659</v>
      </c>
      <c r="C223" t="s">
        <v>34</v>
      </c>
      <c r="D223" t="s">
        <v>699</v>
      </c>
      <c r="E223" t="s">
        <v>36</v>
      </c>
      <c r="F223" t="s">
        <v>25</v>
      </c>
      <c r="G223" t="s">
        <v>66</v>
      </c>
      <c r="H223" t="s">
        <v>57</v>
      </c>
      <c r="I223" t="s">
        <v>88</v>
      </c>
      <c r="J223" t="s">
        <v>117</v>
      </c>
      <c r="K223" t="s">
        <v>700</v>
      </c>
      <c r="L223">
        <v>5</v>
      </c>
      <c r="M223">
        <v>47885</v>
      </c>
      <c r="N223">
        <v>239425</v>
      </c>
      <c r="O223">
        <v>5</v>
      </c>
      <c r="P223">
        <v>11971.25</v>
      </c>
      <c r="Q223">
        <v>227453.75</v>
      </c>
      <c r="R223" t="s">
        <v>31</v>
      </c>
      <c r="S223" t="s">
        <v>44</v>
      </c>
      <c r="T223">
        <v>25</v>
      </c>
      <c r="U223">
        <v>56863.4375</v>
      </c>
    </row>
    <row r="224" spans="1:21" x14ac:dyDescent="0.25">
      <c r="A224" t="s">
        <v>701</v>
      </c>
      <c r="B224" s="8">
        <v>45711</v>
      </c>
      <c r="C224" t="s">
        <v>120</v>
      </c>
      <c r="D224" t="s">
        <v>702</v>
      </c>
      <c r="E224" t="s">
        <v>48</v>
      </c>
      <c r="F224" t="s">
        <v>94</v>
      </c>
      <c r="G224" t="s">
        <v>38</v>
      </c>
      <c r="H224" t="s">
        <v>39</v>
      </c>
      <c r="I224" t="s">
        <v>88</v>
      </c>
      <c r="J224" t="s">
        <v>117</v>
      </c>
      <c r="K224" t="s">
        <v>703</v>
      </c>
      <c r="L224">
        <v>8</v>
      </c>
      <c r="M224">
        <v>41341</v>
      </c>
      <c r="N224">
        <v>330728</v>
      </c>
      <c r="O224">
        <v>0</v>
      </c>
      <c r="P224">
        <v>0</v>
      </c>
      <c r="Q224">
        <v>330728</v>
      </c>
      <c r="R224" t="s">
        <v>90</v>
      </c>
      <c r="S224" t="s">
        <v>44</v>
      </c>
      <c r="T224">
        <v>26</v>
      </c>
      <c r="U224">
        <v>85989.28</v>
      </c>
    </row>
    <row r="225" spans="1:21" x14ac:dyDescent="0.25">
      <c r="A225" t="s">
        <v>704</v>
      </c>
      <c r="B225" s="8">
        <v>45811</v>
      </c>
      <c r="C225" t="s">
        <v>147</v>
      </c>
      <c r="D225" t="s">
        <v>501</v>
      </c>
      <c r="E225" t="s">
        <v>36</v>
      </c>
      <c r="F225" t="s">
        <v>83</v>
      </c>
      <c r="G225" t="s">
        <v>66</v>
      </c>
      <c r="H225" t="s">
        <v>39</v>
      </c>
      <c r="I225" t="s">
        <v>75</v>
      </c>
      <c r="J225" t="s">
        <v>67</v>
      </c>
      <c r="K225" t="s">
        <v>705</v>
      </c>
      <c r="L225">
        <v>7</v>
      </c>
      <c r="M225">
        <v>22276</v>
      </c>
      <c r="N225">
        <v>155932</v>
      </c>
      <c r="O225">
        <v>10</v>
      </c>
      <c r="P225">
        <v>15593.2</v>
      </c>
      <c r="Q225">
        <v>140338.79999999999</v>
      </c>
      <c r="R225" t="s">
        <v>53</v>
      </c>
      <c r="S225" t="s">
        <v>44</v>
      </c>
      <c r="T225">
        <v>14</v>
      </c>
      <c r="U225">
        <v>19647.432000000001</v>
      </c>
    </row>
    <row r="226" spans="1:21" x14ac:dyDescent="0.25">
      <c r="A226" t="s">
        <v>706</v>
      </c>
      <c r="B226" s="8">
        <v>45959</v>
      </c>
      <c r="C226" t="s">
        <v>46</v>
      </c>
      <c r="D226" t="s">
        <v>707</v>
      </c>
      <c r="E226" t="s">
        <v>36</v>
      </c>
      <c r="F226" t="s">
        <v>74</v>
      </c>
      <c r="G226" t="s">
        <v>38</v>
      </c>
      <c r="H226" t="s">
        <v>27</v>
      </c>
      <c r="I226" t="s">
        <v>40</v>
      </c>
      <c r="J226" t="s">
        <v>51</v>
      </c>
      <c r="K226" t="s">
        <v>708</v>
      </c>
      <c r="L226">
        <v>7</v>
      </c>
      <c r="M226">
        <v>40755</v>
      </c>
      <c r="N226">
        <v>285285</v>
      </c>
      <c r="O226">
        <v>0</v>
      </c>
      <c r="P226">
        <v>0</v>
      </c>
      <c r="Q226">
        <v>285285</v>
      </c>
      <c r="R226" t="s">
        <v>31</v>
      </c>
      <c r="S226" t="s">
        <v>32</v>
      </c>
      <c r="T226">
        <v>14</v>
      </c>
      <c r="U226">
        <v>39939.9</v>
      </c>
    </row>
    <row r="227" spans="1:21" x14ac:dyDescent="0.25">
      <c r="A227" t="s">
        <v>709</v>
      </c>
      <c r="B227" s="8">
        <v>45809</v>
      </c>
      <c r="C227" t="s">
        <v>46</v>
      </c>
      <c r="D227" t="s">
        <v>710</v>
      </c>
      <c r="E227" t="s">
        <v>73</v>
      </c>
      <c r="F227" t="s">
        <v>83</v>
      </c>
      <c r="G227" t="s">
        <v>66</v>
      </c>
      <c r="H227" t="s">
        <v>57</v>
      </c>
      <c r="I227" t="s">
        <v>101</v>
      </c>
      <c r="J227" t="s">
        <v>41</v>
      </c>
      <c r="K227" t="s">
        <v>711</v>
      </c>
      <c r="L227">
        <v>8</v>
      </c>
      <c r="M227">
        <v>38112</v>
      </c>
      <c r="N227">
        <v>304896</v>
      </c>
      <c r="O227">
        <v>10</v>
      </c>
      <c r="P227">
        <v>30489.599999999999</v>
      </c>
      <c r="Q227">
        <v>274406.40000000002</v>
      </c>
      <c r="R227" t="s">
        <v>43</v>
      </c>
      <c r="S227" t="s">
        <v>44</v>
      </c>
      <c r="T227">
        <v>14</v>
      </c>
      <c r="U227">
        <v>38416.896000000008</v>
      </c>
    </row>
    <row r="228" spans="1:21" x14ac:dyDescent="0.25">
      <c r="A228" t="s">
        <v>712</v>
      </c>
      <c r="B228" s="8">
        <v>45974</v>
      </c>
      <c r="C228" t="s">
        <v>120</v>
      </c>
      <c r="D228" t="s">
        <v>713</v>
      </c>
      <c r="E228" t="s">
        <v>24</v>
      </c>
      <c r="F228" t="s">
        <v>94</v>
      </c>
      <c r="G228" t="s">
        <v>26</v>
      </c>
      <c r="H228" t="s">
        <v>39</v>
      </c>
      <c r="I228" t="s">
        <v>88</v>
      </c>
      <c r="J228" t="s">
        <v>67</v>
      </c>
      <c r="K228" t="s">
        <v>714</v>
      </c>
      <c r="L228">
        <v>8</v>
      </c>
      <c r="M228">
        <v>18356</v>
      </c>
      <c r="N228">
        <v>146848</v>
      </c>
      <c r="O228">
        <v>5</v>
      </c>
      <c r="P228">
        <v>7342.4</v>
      </c>
      <c r="Q228">
        <v>139505.60000000001</v>
      </c>
      <c r="R228" t="s">
        <v>31</v>
      </c>
      <c r="S228" t="s">
        <v>32</v>
      </c>
      <c r="T228">
        <v>7</v>
      </c>
      <c r="U228">
        <v>9765.3919999999998</v>
      </c>
    </row>
    <row r="229" spans="1:21" x14ac:dyDescent="0.25">
      <c r="A229" t="s">
        <v>715</v>
      </c>
      <c r="B229" s="8">
        <v>45986</v>
      </c>
      <c r="C229" t="s">
        <v>81</v>
      </c>
      <c r="D229" t="s">
        <v>716</v>
      </c>
      <c r="E229" t="s">
        <v>24</v>
      </c>
      <c r="F229" t="s">
        <v>74</v>
      </c>
      <c r="G229" t="s">
        <v>38</v>
      </c>
      <c r="H229" t="s">
        <v>27</v>
      </c>
      <c r="I229" t="s">
        <v>88</v>
      </c>
      <c r="J229" t="s">
        <v>117</v>
      </c>
      <c r="K229" t="s">
        <v>717</v>
      </c>
      <c r="L229">
        <v>3</v>
      </c>
      <c r="M229">
        <v>5074</v>
      </c>
      <c r="N229">
        <v>15222</v>
      </c>
      <c r="O229">
        <v>5</v>
      </c>
      <c r="P229">
        <v>761.1</v>
      </c>
      <c r="Q229">
        <v>14460.9</v>
      </c>
      <c r="R229" t="s">
        <v>90</v>
      </c>
      <c r="S229" t="s">
        <v>32</v>
      </c>
      <c r="T229">
        <v>22</v>
      </c>
      <c r="U229">
        <v>3181.3980000000001</v>
      </c>
    </row>
    <row r="230" spans="1:21" x14ac:dyDescent="0.25">
      <c r="A230" t="s">
        <v>718</v>
      </c>
      <c r="B230" s="8">
        <v>45997</v>
      </c>
      <c r="C230" t="s">
        <v>92</v>
      </c>
      <c r="D230" t="s">
        <v>719</v>
      </c>
      <c r="E230" t="s">
        <v>36</v>
      </c>
      <c r="F230" t="s">
        <v>56</v>
      </c>
      <c r="G230" t="s">
        <v>26</v>
      </c>
      <c r="H230" t="s">
        <v>27</v>
      </c>
      <c r="I230" t="s">
        <v>28</v>
      </c>
      <c r="J230" t="s">
        <v>78</v>
      </c>
      <c r="K230" t="s">
        <v>720</v>
      </c>
      <c r="L230">
        <v>8</v>
      </c>
      <c r="M230">
        <v>49484</v>
      </c>
      <c r="N230">
        <v>395872</v>
      </c>
      <c r="O230">
        <v>15</v>
      </c>
      <c r="P230">
        <v>59380.800000000003</v>
      </c>
      <c r="Q230">
        <v>336491.2</v>
      </c>
      <c r="R230" t="s">
        <v>43</v>
      </c>
      <c r="S230" t="s">
        <v>44</v>
      </c>
      <c r="T230">
        <v>29</v>
      </c>
      <c r="U230">
        <v>97582.448000000004</v>
      </c>
    </row>
    <row r="231" spans="1:21" x14ac:dyDescent="0.25">
      <c r="A231" t="s">
        <v>721</v>
      </c>
      <c r="B231" s="8">
        <v>45727</v>
      </c>
      <c r="C231" t="s">
        <v>63</v>
      </c>
      <c r="D231" t="s">
        <v>412</v>
      </c>
      <c r="E231" t="s">
        <v>24</v>
      </c>
      <c r="F231" t="s">
        <v>94</v>
      </c>
      <c r="G231" t="s">
        <v>38</v>
      </c>
      <c r="H231" t="s">
        <v>39</v>
      </c>
      <c r="I231" t="s">
        <v>88</v>
      </c>
      <c r="J231" t="s">
        <v>67</v>
      </c>
      <c r="K231" t="s">
        <v>722</v>
      </c>
      <c r="L231">
        <v>5</v>
      </c>
      <c r="M231">
        <v>19136</v>
      </c>
      <c r="N231">
        <v>95680</v>
      </c>
      <c r="O231">
        <v>10</v>
      </c>
      <c r="P231">
        <v>9568</v>
      </c>
      <c r="Q231">
        <v>86112</v>
      </c>
      <c r="R231" t="s">
        <v>90</v>
      </c>
      <c r="S231" t="s">
        <v>32</v>
      </c>
      <c r="T231">
        <v>12</v>
      </c>
      <c r="U231">
        <v>10333.44</v>
      </c>
    </row>
    <row r="232" spans="1:21" x14ac:dyDescent="0.25">
      <c r="A232" t="s">
        <v>723</v>
      </c>
      <c r="B232" s="8">
        <v>46012</v>
      </c>
      <c r="C232" t="s">
        <v>46</v>
      </c>
      <c r="D232" t="s">
        <v>270</v>
      </c>
      <c r="E232" t="s">
        <v>24</v>
      </c>
      <c r="F232" t="s">
        <v>49</v>
      </c>
      <c r="G232" t="s">
        <v>38</v>
      </c>
      <c r="H232" t="s">
        <v>39</v>
      </c>
      <c r="I232" t="s">
        <v>28</v>
      </c>
      <c r="J232" t="s">
        <v>41</v>
      </c>
      <c r="K232" t="s">
        <v>724</v>
      </c>
      <c r="L232">
        <v>9</v>
      </c>
      <c r="M232">
        <v>32305</v>
      </c>
      <c r="N232">
        <v>290745</v>
      </c>
      <c r="O232">
        <v>20</v>
      </c>
      <c r="P232">
        <v>58149</v>
      </c>
      <c r="Q232">
        <v>232596</v>
      </c>
      <c r="R232" t="s">
        <v>53</v>
      </c>
      <c r="S232" t="s">
        <v>44</v>
      </c>
      <c r="T232">
        <v>20</v>
      </c>
      <c r="U232">
        <v>46519.199999999997</v>
      </c>
    </row>
    <row r="233" spans="1:21" x14ac:dyDescent="0.25">
      <c r="A233" t="s">
        <v>725</v>
      </c>
      <c r="B233" s="8">
        <v>46015</v>
      </c>
      <c r="C233" t="s">
        <v>22</v>
      </c>
      <c r="D233" t="s">
        <v>726</v>
      </c>
      <c r="E233" t="s">
        <v>48</v>
      </c>
      <c r="F233" t="s">
        <v>25</v>
      </c>
      <c r="G233" t="s">
        <v>38</v>
      </c>
      <c r="H233" t="s">
        <v>39</v>
      </c>
      <c r="I233" t="s">
        <v>75</v>
      </c>
      <c r="J233" t="s">
        <v>51</v>
      </c>
      <c r="K233" t="s">
        <v>727</v>
      </c>
      <c r="L233">
        <v>9</v>
      </c>
      <c r="M233">
        <v>45658</v>
      </c>
      <c r="N233">
        <v>410922</v>
      </c>
      <c r="O233">
        <v>20</v>
      </c>
      <c r="P233">
        <v>82184.399999999994</v>
      </c>
      <c r="Q233">
        <v>328737.59999999998</v>
      </c>
      <c r="R233" t="s">
        <v>31</v>
      </c>
      <c r="S233" t="s">
        <v>69</v>
      </c>
      <c r="T233">
        <v>11</v>
      </c>
      <c r="U233">
        <v>36161.135999999999</v>
      </c>
    </row>
    <row r="234" spans="1:21" x14ac:dyDescent="0.25">
      <c r="A234" t="s">
        <v>728</v>
      </c>
      <c r="B234" s="8">
        <v>45772</v>
      </c>
      <c r="C234" t="s">
        <v>120</v>
      </c>
      <c r="D234" t="s">
        <v>729</v>
      </c>
      <c r="E234" t="s">
        <v>48</v>
      </c>
      <c r="F234" t="s">
        <v>49</v>
      </c>
      <c r="G234" t="s">
        <v>26</v>
      </c>
      <c r="H234" t="s">
        <v>27</v>
      </c>
      <c r="I234" t="s">
        <v>101</v>
      </c>
      <c r="J234" t="s">
        <v>78</v>
      </c>
      <c r="K234" t="s">
        <v>730</v>
      </c>
      <c r="L234">
        <v>6</v>
      </c>
      <c r="M234">
        <v>46344</v>
      </c>
      <c r="N234">
        <v>278064</v>
      </c>
      <c r="O234">
        <v>15</v>
      </c>
      <c r="P234">
        <v>41709.599999999999</v>
      </c>
      <c r="Q234">
        <v>236354.4</v>
      </c>
      <c r="R234" t="s">
        <v>53</v>
      </c>
      <c r="S234" t="s">
        <v>44</v>
      </c>
      <c r="T234">
        <v>23</v>
      </c>
      <c r="U234">
        <v>54361.512000000002</v>
      </c>
    </row>
    <row r="235" spans="1:21" x14ac:dyDescent="0.25">
      <c r="A235" t="s">
        <v>731</v>
      </c>
      <c r="B235" s="8">
        <v>45925</v>
      </c>
      <c r="C235" t="s">
        <v>147</v>
      </c>
      <c r="D235" t="s">
        <v>574</v>
      </c>
      <c r="E235" t="s">
        <v>36</v>
      </c>
      <c r="F235" t="s">
        <v>56</v>
      </c>
      <c r="G235" t="s">
        <v>26</v>
      </c>
      <c r="H235" t="s">
        <v>39</v>
      </c>
      <c r="I235" t="s">
        <v>75</v>
      </c>
      <c r="J235" t="s">
        <v>67</v>
      </c>
      <c r="K235" t="s">
        <v>732</v>
      </c>
      <c r="L235">
        <v>1</v>
      </c>
      <c r="M235">
        <v>41175</v>
      </c>
      <c r="N235">
        <v>41175</v>
      </c>
      <c r="O235">
        <v>0</v>
      </c>
      <c r="P235">
        <v>0</v>
      </c>
      <c r="Q235">
        <v>41175</v>
      </c>
      <c r="R235" t="s">
        <v>90</v>
      </c>
      <c r="S235" t="s">
        <v>44</v>
      </c>
      <c r="T235">
        <v>29</v>
      </c>
      <c r="U235">
        <v>11940.75</v>
      </c>
    </row>
    <row r="236" spans="1:21" x14ac:dyDescent="0.25">
      <c r="A236" t="s">
        <v>733</v>
      </c>
      <c r="B236" s="8">
        <v>45910</v>
      </c>
      <c r="C236" t="s">
        <v>147</v>
      </c>
      <c r="D236" t="s">
        <v>734</v>
      </c>
      <c r="E236" t="s">
        <v>36</v>
      </c>
      <c r="F236" t="s">
        <v>25</v>
      </c>
      <c r="G236" t="s">
        <v>38</v>
      </c>
      <c r="H236" t="s">
        <v>39</v>
      </c>
      <c r="I236" t="s">
        <v>75</v>
      </c>
      <c r="J236" t="s">
        <v>78</v>
      </c>
      <c r="K236" t="s">
        <v>735</v>
      </c>
      <c r="L236">
        <v>6</v>
      </c>
      <c r="M236">
        <v>8296</v>
      </c>
      <c r="N236">
        <v>49776</v>
      </c>
      <c r="O236">
        <v>10</v>
      </c>
      <c r="P236">
        <v>4977.6000000000004</v>
      </c>
      <c r="Q236">
        <v>44798.400000000001</v>
      </c>
      <c r="R236" t="s">
        <v>31</v>
      </c>
      <c r="S236" t="s">
        <v>69</v>
      </c>
      <c r="T236">
        <v>26</v>
      </c>
      <c r="U236">
        <v>11647.584000000001</v>
      </c>
    </row>
    <row r="237" spans="1:21" x14ac:dyDescent="0.25">
      <c r="A237" t="s">
        <v>736</v>
      </c>
      <c r="B237" s="8">
        <v>45965</v>
      </c>
      <c r="C237" t="s">
        <v>22</v>
      </c>
      <c r="D237" t="s">
        <v>737</v>
      </c>
      <c r="E237" t="s">
        <v>73</v>
      </c>
      <c r="F237" t="s">
        <v>37</v>
      </c>
      <c r="G237" t="s">
        <v>26</v>
      </c>
      <c r="H237" t="s">
        <v>57</v>
      </c>
      <c r="I237" t="s">
        <v>50</v>
      </c>
      <c r="J237" t="s">
        <v>29</v>
      </c>
      <c r="K237" t="s">
        <v>738</v>
      </c>
      <c r="L237">
        <v>4</v>
      </c>
      <c r="M237">
        <v>16170</v>
      </c>
      <c r="N237">
        <v>64680</v>
      </c>
      <c r="O237">
        <v>0</v>
      </c>
      <c r="P237">
        <v>0</v>
      </c>
      <c r="Q237">
        <v>64680</v>
      </c>
      <c r="R237" t="s">
        <v>43</v>
      </c>
      <c r="S237" t="s">
        <v>44</v>
      </c>
      <c r="T237">
        <v>8</v>
      </c>
      <c r="U237">
        <v>5174.3999999999996</v>
      </c>
    </row>
    <row r="238" spans="1:21" x14ac:dyDescent="0.25">
      <c r="A238" t="s">
        <v>739</v>
      </c>
      <c r="B238" s="8">
        <v>45711</v>
      </c>
      <c r="C238" t="s">
        <v>86</v>
      </c>
      <c r="D238" t="s">
        <v>740</v>
      </c>
      <c r="E238" t="s">
        <v>73</v>
      </c>
      <c r="F238" t="s">
        <v>37</v>
      </c>
      <c r="G238" t="s">
        <v>26</v>
      </c>
      <c r="H238" t="s">
        <v>27</v>
      </c>
      <c r="I238" t="s">
        <v>40</v>
      </c>
      <c r="J238" t="s">
        <v>29</v>
      </c>
      <c r="K238" t="s">
        <v>741</v>
      </c>
      <c r="L238">
        <v>4</v>
      </c>
      <c r="M238">
        <v>25839</v>
      </c>
      <c r="N238">
        <v>103356</v>
      </c>
      <c r="O238">
        <v>20</v>
      </c>
      <c r="P238">
        <v>20671.2</v>
      </c>
      <c r="Q238">
        <v>82684.800000000003</v>
      </c>
      <c r="R238" t="s">
        <v>43</v>
      </c>
      <c r="S238" t="s">
        <v>69</v>
      </c>
      <c r="T238">
        <v>27</v>
      </c>
      <c r="U238">
        <v>22324.896000000001</v>
      </c>
    </row>
    <row r="239" spans="1:21" x14ac:dyDescent="0.25">
      <c r="A239" t="s">
        <v>742</v>
      </c>
      <c r="B239" s="8">
        <v>45893</v>
      </c>
      <c r="C239" t="s">
        <v>71</v>
      </c>
      <c r="D239" t="s">
        <v>743</v>
      </c>
      <c r="E239" t="s">
        <v>24</v>
      </c>
      <c r="F239" t="s">
        <v>94</v>
      </c>
      <c r="G239" t="s">
        <v>66</v>
      </c>
      <c r="H239" t="s">
        <v>57</v>
      </c>
      <c r="I239" t="s">
        <v>75</v>
      </c>
      <c r="J239" t="s">
        <v>29</v>
      </c>
      <c r="K239" t="s">
        <v>744</v>
      </c>
      <c r="L239">
        <v>4</v>
      </c>
      <c r="M239">
        <v>40315</v>
      </c>
      <c r="N239">
        <v>161260</v>
      </c>
      <c r="O239">
        <v>0</v>
      </c>
      <c r="P239">
        <v>0</v>
      </c>
      <c r="Q239">
        <v>161260</v>
      </c>
      <c r="R239" t="s">
        <v>53</v>
      </c>
      <c r="S239" t="s">
        <v>32</v>
      </c>
      <c r="T239">
        <v>7</v>
      </c>
      <c r="U239">
        <v>11288.2</v>
      </c>
    </row>
    <row r="240" spans="1:21" x14ac:dyDescent="0.25">
      <c r="A240" t="s">
        <v>745</v>
      </c>
      <c r="B240" s="8">
        <v>45739</v>
      </c>
      <c r="C240" t="s">
        <v>63</v>
      </c>
      <c r="D240" t="s">
        <v>746</v>
      </c>
      <c r="E240" t="s">
        <v>48</v>
      </c>
      <c r="F240" t="s">
        <v>74</v>
      </c>
      <c r="G240" t="s">
        <v>66</v>
      </c>
      <c r="H240" t="s">
        <v>27</v>
      </c>
      <c r="I240" t="s">
        <v>40</v>
      </c>
      <c r="J240" t="s">
        <v>78</v>
      </c>
      <c r="K240" t="s">
        <v>747</v>
      </c>
      <c r="L240">
        <v>8</v>
      </c>
      <c r="M240">
        <v>24741</v>
      </c>
      <c r="N240">
        <v>197928</v>
      </c>
      <c r="O240">
        <v>20</v>
      </c>
      <c r="P240">
        <v>39585.599999999999</v>
      </c>
      <c r="Q240">
        <v>158342.39999999999</v>
      </c>
      <c r="R240" t="s">
        <v>53</v>
      </c>
      <c r="S240" t="s">
        <v>69</v>
      </c>
      <c r="T240">
        <v>7</v>
      </c>
      <c r="U240">
        <v>11083.968000000001</v>
      </c>
    </row>
    <row r="241" spans="1:21" x14ac:dyDescent="0.25">
      <c r="A241" t="s">
        <v>748</v>
      </c>
      <c r="B241" s="8">
        <v>45762</v>
      </c>
      <c r="C241" t="s">
        <v>46</v>
      </c>
      <c r="D241" t="s">
        <v>749</v>
      </c>
      <c r="E241" t="s">
        <v>73</v>
      </c>
      <c r="F241" t="s">
        <v>74</v>
      </c>
      <c r="G241" t="s">
        <v>38</v>
      </c>
      <c r="H241" t="s">
        <v>39</v>
      </c>
      <c r="I241" t="s">
        <v>50</v>
      </c>
      <c r="J241" t="s">
        <v>67</v>
      </c>
      <c r="K241" t="s">
        <v>750</v>
      </c>
      <c r="L241">
        <v>8</v>
      </c>
      <c r="M241">
        <v>40695</v>
      </c>
      <c r="N241">
        <v>325560</v>
      </c>
      <c r="O241">
        <v>5</v>
      </c>
      <c r="P241">
        <v>16278</v>
      </c>
      <c r="Q241">
        <v>309282</v>
      </c>
      <c r="R241" t="s">
        <v>53</v>
      </c>
      <c r="S241" t="s">
        <v>32</v>
      </c>
      <c r="T241">
        <v>17</v>
      </c>
      <c r="U241">
        <v>52577.94</v>
      </c>
    </row>
    <row r="242" spans="1:21" x14ac:dyDescent="0.25">
      <c r="A242" t="s">
        <v>751</v>
      </c>
      <c r="B242" s="8">
        <v>45699</v>
      </c>
      <c r="C242" t="s">
        <v>71</v>
      </c>
      <c r="D242" t="s">
        <v>752</v>
      </c>
      <c r="E242" t="s">
        <v>24</v>
      </c>
      <c r="F242" t="s">
        <v>56</v>
      </c>
      <c r="G242" t="s">
        <v>38</v>
      </c>
      <c r="H242" t="s">
        <v>27</v>
      </c>
      <c r="I242" t="s">
        <v>40</v>
      </c>
      <c r="J242" t="s">
        <v>29</v>
      </c>
      <c r="K242" t="s">
        <v>753</v>
      </c>
      <c r="L242">
        <v>5</v>
      </c>
      <c r="M242">
        <v>29194</v>
      </c>
      <c r="N242">
        <v>145970</v>
      </c>
      <c r="O242">
        <v>15</v>
      </c>
      <c r="P242">
        <v>21895.5</v>
      </c>
      <c r="Q242">
        <v>124074.5</v>
      </c>
      <c r="R242" t="s">
        <v>90</v>
      </c>
      <c r="S242" t="s">
        <v>44</v>
      </c>
      <c r="T242">
        <v>17</v>
      </c>
      <c r="U242">
        <v>21092.665000000001</v>
      </c>
    </row>
    <row r="243" spans="1:21" x14ac:dyDescent="0.25">
      <c r="A243" t="s">
        <v>754</v>
      </c>
      <c r="B243" s="8">
        <v>45709</v>
      </c>
      <c r="C243" t="s">
        <v>63</v>
      </c>
      <c r="D243" t="s">
        <v>755</v>
      </c>
      <c r="E243" t="s">
        <v>73</v>
      </c>
      <c r="F243" t="s">
        <v>94</v>
      </c>
      <c r="G243" t="s">
        <v>66</v>
      </c>
      <c r="H243" t="s">
        <v>57</v>
      </c>
      <c r="I243" t="s">
        <v>75</v>
      </c>
      <c r="J243" t="s">
        <v>78</v>
      </c>
      <c r="K243" t="s">
        <v>756</v>
      </c>
      <c r="L243">
        <v>1</v>
      </c>
      <c r="M243">
        <v>24262</v>
      </c>
      <c r="N243">
        <v>24262</v>
      </c>
      <c r="O243">
        <v>20</v>
      </c>
      <c r="P243">
        <v>4852.3999999999996</v>
      </c>
      <c r="Q243">
        <v>19409.599999999999</v>
      </c>
      <c r="R243" t="s">
        <v>90</v>
      </c>
      <c r="S243" t="s">
        <v>32</v>
      </c>
      <c r="T243">
        <v>10</v>
      </c>
      <c r="U243">
        <v>1940.96</v>
      </c>
    </row>
    <row r="244" spans="1:21" x14ac:dyDescent="0.25">
      <c r="A244" t="s">
        <v>757</v>
      </c>
      <c r="B244" s="8">
        <v>45931</v>
      </c>
      <c r="C244" t="s">
        <v>63</v>
      </c>
      <c r="D244" t="s">
        <v>758</v>
      </c>
      <c r="E244" t="s">
        <v>73</v>
      </c>
      <c r="F244" t="s">
        <v>83</v>
      </c>
      <c r="G244" t="s">
        <v>38</v>
      </c>
      <c r="H244" t="s">
        <v>57</v>
      </c>
      <c r="I244" t="s">
        <v>40</v>
      </c>
      <c r="J244" t="s">
        <v>78</v>
      </c>
      <c r="K244" t="s">
        <v>759</v>
      </c>
      <c r="L244">
        <v>7</v>
      </c>
      <c r="M244">
        <v>30661</v>
      </c>
      <c r="N244">
        <v>214627</v>
      </c>
      <c r="O244">
        <v>15</v>
      </c>
      <c r="P244">
        <v>32194.05</v>
      </c>
      <c r="Q244">
        <v>182432.95</v>
      </c>
      <c r="R244" t="s">
        <v>43</v>
      </c>
      <c r="S244" t="s">
        <v>32</v>
      </c>
      <c r="T244">
        <v>16</v>
      </c>
      <c r="U244">
        <v>29189.272000000001</v>
      </c>
    </row>
    <row r="245" spans="1:21" x14ac:dyDescent="0.25">
      <c r="A245" t="s">
        <v>760</v>
      </c>
      <c r="B245" s="8">
        <v>45998</v>
      </c>
      <c r="C245" t="s">
        <v>22</v>
      </c>
      <c r="D245" t="s">
        <v>559</v>
      </c>
      <c r="E245" t="s">
        <v>73</v>
      </c>
      <c r="F245" t="s">
        <v>56</v>
      </c>
      <c r="G245" t="s">
        <v>38</v>
      </c>
      <c r="H245" t="s">
        <v>27</v>
      </c>
      <c r="I245" t="s">
        <v>101</v>
      </c>
      <c r="J245" t="s">
        <v>41</v>
      </c>
      <c r="K245" t="s">
        <v>761</v>
      </c>
      <c r="L245">
        <v>8</v>
      </c>
      <c r="M245">
        <v>31021</v>
      </c>
      <c r="N245">
        <v>248168</v>
      </c>
      <c r="O245">
        <v>10</v>
      </c>
      <c r="P245">
        <v>24816.799999999999</v>
      </c>
      <c r="Q245">
        <v>223351.2</v>
      </c>
      <c r="R245" t="s">
        <v>31</v>
      </c>
      <c r="S245" t="s">
        <v>32</v>
      </c>
      <c r="T245">
        <v>21</v>
      </c>
      <c r="U245">
        <v>46903.752</v>
      </c>
    </row>
    <row r="246" spans="1:21" x14ac:dyDescent="0.25">
      <c r="A246" t="s">
        <v>762</v>
      </c>
      <c r="B246" s="8">
        <v>45785</v>
      </c>
      <c r="C246" t="s">
        <v>46</v>
      </c>
      <c r="D246" t="s">
        <v>763</v>
      </c>
      <c r="E246" t="s">
        <v>24</v>
      </c>
      <c r="F246" t="s">
        <v>49</v>
      </c>
      <c r="G246" t="s">
        <v>26</v>
      </c>
      <c r="H246" t="s">
        <v>57</v>
      </c>
      <c r="I246" t="s">
        <v>50</v>
      </c>
      <c r="J246" t="s">
        <v>51</v>
      </c>
      <c r="K246" t="s">
        <v>764</v>
      </c>
      <c r="L246">
        <v>7</v>
      </c>
      <c r="M246">
        <v>26397</v>
      </c>
      <c r="N246">
        <v>184779</v>
      </c>
      <c r="O246">
        <v>10</v>
      </c>
      <c r="P246">
        <v>18477.900000000001</v>
      </c>
      <c r="Q246">
        <v>166301.1</v>
      </c>
      <c r="R246" t="s">
        <v>31</v>
      </c>
      <c r="S246" t="s">
        <v>69</v>
      </c>
      <c r="T246">
        <v>6</v>
      </c>
      <c r="U246">
        <v>9978.0660000000007</v>
      </c>
    </row>
    <row r="247" spans="1:21" x14ac:dyDescent="0.25">
      <c r="A247" t="s">
        <v>765</v>
      </c>
      <c r="B247" s="8">
        <v>46001</v>
      </c>
      <c r="C247" t="s">
        <v>46</v>
      </c>
      <c r="D247" t="s">
        <v>766</v>
      </c>
      <c r="E247" t="s">
        <v>48</v>
      </c>
      <c r="F247" t="s">
        <v>37</v>
      </c>
      <c r="G247" t="s">
        <v>66</v>
      </c>
      <c r="H247" t="s">
        <v>27</v>
      </c>
      <c r="I247" t="s">
        <v>101</v>
      </c>
      <c r="J247" t="s">
        <v>67</v>
      </c>
      <c r="K247" t="s">
        <v>767</v>
      </c>
      <c r="L247">
        <v>2</v>
      </c>
      <c r="M247">
        <v>9798</v>
      </c>
      <c r="N247">
        <v>19596</v>
      </c>
      <c r="O247">
        <v>0</v>
      </c>
      <c r="P247">
        <v>0</v>
      </c>
      <c r="Q247">
        <v>19596</v>
      </c>
      <c r="R247" t="s">
        <v>43</v>
      </c>
      <c r="S247" t="s">
        <v>69</v>
      </c>
      <c r="T247">
        <v>16</v>
      </c>
      <c r="U247">
        <v>3135.36</v>
      </c>
    </row>
    <row r="248" spans="1:21" x14ac:dyDescent="0.25">
      <c r="A248" t="s">
        <v>768</v>
      </c>
      <c r="B248" s="8">
        <v>45747</v>
      </c>
      <c r="C248" t="s">
        <v>86</v>
      </c>
      <c r="D248" t="s">
        <v>769</v>
      </c>
      <c r="E248" t="s">
        <v>48</v>
      </c>
      <c r="F248" t="s">
        <v>74</v>
      </c>
      <c r="G248" t="s">
        <v>26</v>
      </c>
      <c r="H248" t="s">
        <v>39</v>
      </c>
      <c r="I248" t="s">
        <v>28</v>
      </c>
      <c r="J248" t="s">
        <v>78</v>
      </c>
      <c r="K248" t="s">
        <v>770</v>
      </c>
      <c r="L248">
        <v>4</v>
      </c>
      <c r="M248">
        <v>6226</v>
      </c>
      <c r="N248">
        <v>24904</v>
      </c>
      <c r="O248">
        <v>0</v>
      </c>
      <c r="P248">
        <v>0</v>
      </c>
      <c r="Q248">
        <v>24904</v>
      </c>
      <c r="R248" t="s">
        <v>53</v>
      </c>
      <c r="S248" t="s">
        <v>32</v>
      </c>
      <c r="T248">
        <v>21</v>
      </c>
      <c r="U248">
        <v>5229.84</v>
      </c>
    </row>
    <row r="249" spans="1:21" x14ac:dyDescent="0.25">
      <c r="A249" t="s">
        <v>771</v>
      </c>
      <c r="B249" s="8">
        <v>45851</v>
      </c>
      <c r="C249" t="s">
        <v>22</v>
      </c>
      <c r="D249" t="s">
        <v>772</v>
      </c>
      <c r="E249" t="s">
        <v>73</v>
      </c>
      <c r="F249" t="s">
        <v>94</v>
      </c>
      <c r="G249" t="s">
        <v>26</v>
      </c>
      <c r="H249" t="s">
        <v>27</v>
      </c>
      <c r="I249" t="s">
        <v>88</v>
      </c>
      <c r="J249" t="s">
        <v>41</v>
      </c>
      <c r="K249" t="s">
        <v>773</v>
      </c>
      <c r="L249">
        <v>6</v>
      </c>
      <c r="M249">
        <v>46778</v>
      </c>
      <c r="N249">
        <v>280668</v>
      </c>
      <c r="O249">
        <v>10</v>
      </c>
      <c r="P249">
        <v>28066.799999999999</v>
      </c>
      <c r="Q249">
        <v>252601.2</v>
      </c>
      <c r="R249" t="s">
        <v>90</v>
      </c>
      <c r="S249" t="s">
        <v>44</v>
      </c>
      <c r="T249">
        <v>6</v>
      </c>
      <c r="U249">
        <v>15156.072</v>
      </c>
    </row>
    <row r="250" spans="1:21" x14ac:dyDescent="0.25">
      <c r="A250" t="s">
        <v>774</v>
      </c>
      <c r="B250" s="8">
        <v>45753</v>
      </c>
      <c r="C250" t="s">
        <v>120</v>
      </c>
      <c r="D250" t="s">
        <v>775</v>
      </c>
      <c r="E250" t="s">
        <v>73</v>
      </c>
      <c r="F250" t="s">
        <v>74</v>
      </c>
      <c r="G250" t="s">
        <v>66</v>
      </c>
      <c r="H250" t="s">
        <v>39</v>
      </c>
      <c r="I250" t="s">
        <v>75</v>
      </c>
      <c r="J250" t="s">
        <v>67</v>
      </c>
      <c r="K250" t="s">
        <v>537</v>
      </c>
      <c r="L250">
        <v>9</v>
      </c>
      <c r="M250">
        <v>27242</v>
      </c>
      <c r="N250">
        <v>245178</v>
      </c>
      <c r="O250">
        <v>20</v>
      </c>
      <c r="P250">
        <v>49035.6</v>
      </c>
      <c r="Q250">
        <v>196142.4</v>
      </c>
      <c r="R250" t="s">
        <v>43</v>
      </c>
      <c r="S250" t="s">
        <v>69</v>
      </c>
      <c r="T250">
        <v>8</v>
      </c>
      <c r="U250">
        <v>15691.392</v>
      </c>
    </row>
    <row r="251" spans="1:21" x14ac:dyDescent="0.25">
      <c r="A251" t="s">
        <v>776</v>
      </c>
      <c r="B251" s="8">
        <v>45803</v>
      </c>
      <c r="C251" t="s">
        <v>46</v>
      </c>
      <c r="D251" t="s">
        <v>777</v>
      </c>
      <c r="E251" t="s">
        <v>73</v>
      </c>
      <c r="F251" t="s">
        <v>74</v>
      </c>
      <c r="G251" t="s">
        <v>26</v>
      </c>
      <c r="H251" t="s">
        <v>39</v>
      </c>
      <c r="I251" t="s">
        <v>75</v>
      </c>
      <c r="J251" t="s">
        <v>78</v>
      </c>
      <c r="K251" t="s">
        <v>778</v>
      </c>
      <c r="L251">
        <v>9</v>
      </c>
      <c r="M251">
        <v>41180</v>
      </c>
      <c r="N251">
        <v>370620</v>
      </c>
      <c r="O251">
        <v>10</v>
      </c>
      <c r="P251">
        <v>37062</v>
      </c>
      <c r="Q251">
        <v>333558</v>
      </c>
      <c r="R251" t="s">
        <v>43</v>
      </c>
      <c r="S251" t="s">
        <v>69</v>
      </c>
      <c r="T251">
        <v>22</v>
      </c>
      <c r="U251">
        <v>73382.759999999995</v>
      </c>
    </row>
    <row r="252" spans="1:21" x14ac:dyDescent="0.25">
      <c r="A252" t="s">
        <v>779</v>
      </c>
      <c r="B252" s="8">
        <v>45962</v>
      </c>
      <c r="C252" t="s">
        <v>81</v>
      </c>
      <c r="D252" t="s">
        <v>780</v>
      </c>
      <c r="E252" t="s">
        <v>48</v>
      </c>
      <c r="F252" t="s">
        <v>94</v>
      </c>
      <c r="G252" t="s">
        <v>66</v>
      </c>
      <c r="H252" t="s">
        <v>39</v>
      </c>
      <c r="I252" t="s">
        <v>88</v>
      </c>
      <c r="J252" t="s">
        <v>78</v>
      </c>
      <c r="K252" t="s">
        <v>781</v>
      </c>
      <c r="L252">
        <v>1</v>
      </c>
      <c r="M252">
        <v>27030</v>
      </c>
      <c r="N252">
        <v>27030</v>
      </c>
      <c r="O252">
        <v>0</v>
      </c>
      <c r="P252">
        <v>0</v>
      </c>
      <c r="Q252">
        <v>27030</v>
      </c>
      <c r="R252" t="s">
        <v>90</v>
      </c>
      <c r="S252" t="s">
        <v>69</v>
      </c>
      <c r="T252">
        <v>30</v>
      </c>
      <c r="U252">
        <v>8109</v>
      </c>
    </row>
    <row r="253" spans="1:21" x14ac:dyDescent="0.25">
      <c r="A253" t="s">
        <v>782</v>
      </c>
      <c r="B253" s="8">
        <v>46011</v>
      </c>
      <c r="C253" t="s">
        <v>120</v>
      </c>
      <c r="D253" t="s">
        <v>658</v>
      </c>
      <c r="E253" t="s">
        <v>48</v>
      </c>
      <c r="F253" t="s">
        <v>56</v>
      </c>
      <c r="G253" t="s">
        <v>38</v>
      </c>
      <c r="H253" t="s">
        <v>39</v>
      </c>
      <c r="I253" t="s">
        <v>28</v>
      </c>
      <c r="J253" t="s">
        <v>41</v>
      </c>
      <c r="K253" t="s">
        <v>783</v>
      </c>
      <c r="L253">
        <v>2</v>
      </c>
      <c r="M253">
        <v>7201</v>
      </c>
      <c r="N253">
        <v>14402</v>
      </c>
      <c r="O253">
        <v>15</v>
      </c>
      <c r="P253">
        <v>2160.3000000000002</v>
      </c>
      <c r="Q253">
        <v>12241.7</v>
      </c>
      <c r="R253" t="s">
        <v>90</v>
      </c>
      <c r="S253" t="s">
        <v>32</v>
      </c>
      <c r="T253">
        <v>28</v>
      </c>
      <c r="U253">
        <v>3427.6759999999999</v>
      </c>
    </row>
    <row r="254" spans="1:21" x14ac:dyDescent="0.25">
      <c r="A254" t="s">
        <v>784</v>
      </c>
      <c r="B254" s="8">
        <v>45868</v>
      </c>
      <c r="C254" t="s">
        <v>22</v>
      </c>
      <c r="D254" t="s">
        <v>785</v>
      </c>
      <c r="E254" t="s">
        <v>36</v>
      </c>
      <c r="F254" t="s">
        <v>56</v>
      </c>
      <c r="G254" t="s">
        <v>66</v>
      </c>
      <c r="H254" t="s">
        <v>39</v>
      </c>
      <c r="I254" t="s">
        <v>50</v>
      </c>
      <c r="J254" t="s">
        <v>41</v>
      </c>
      <c r="K254" t="s">
        <v>786</v>
      </c>
      <c r="L254">
        <v>2</v>
      </c>
      <c r="M254">
        <v>27597</v>
      </c>
      <c r="N254">
        <v>55194</v>
      </c>
      <c r="O254">
        <v>15</v>
      </c>
      <c r="P254">
        <v>8279.1</v>
      </c>
      <c r="Q254">
        <v>46914.9</v>
      </c>
      <c r="R254" t="s">
        <v>31</v>
      </c>
      <c r="S254" t="s">
        <v>69</v>
      </c>
      <c r="T254">
        <v>11</v>
      </c>
      <c r="U254">
        <v>5160.6390000000001</v>
      </c>
    </row>
    <row r="255" spans="1:21" x14ac:dyDescent="0.25">
      <c r="A255" t="s">
        <v>787</v>
      </c>
      <c r="B255" s="8">
        <v>45733</v>
      </c>
      <c r="C255" t="s">
        <v>63</v>
      </c>
      <c r="D255" t="s">
        <v>788</v>
      </c>
      <c r="E255" t="s">
        <v>36</v>
      </c>
      <c r="F255" t="s">
        <v>65</v>
      </c>
      <c r="G255" t="s">
        <v>66</v>
      </c>
      <c r="H255" t="s">
        <v>27</v>
      </c>
      <c r="I255" t="s">
        <v>40</v>
      </c>
      <c r="J255" t="s">
        <v>67</v>
      </c>
      <c r="K255" t="s">
        <v>789</v>
      </c>
      <c r="L255">
        <v>1</v>
      </c>
      <c r="M255">
        <v>31372</v>
      </c>
      <c r="N255">
        <v>31372</v>
      </c>
      <c r="O255">
        <v>5</v>
      </c>
      <c r="P255">
        <v>1568.6</v>
      </c>
      <c r="Q255">
        <v>29803.4</v>
      </c>
      <c r="R255" t="s">
        <v>31</v>
      </c>
      <c r="S255" t="s">
        <v>44</v>
      </c>
      <c r="T255">
        <v>21</v>
      </c>
      <c r="U255">
        <v>6258.7139999999999</v>
      </c>
    </row>
    <row r="256" spans="1:21" x14ac:dyDescent="0.25">
      <c r="A256" t="s">
        <v>790</v>
      </c>
      <c r="B256" s="8">
        <v>45676</v>
      </c>
      <c r="C256" t="s">
        <v>92</v>
      </c>
      <c r="D256" t="s">
        <v>791</v>
      </c>
      <c r="E256" t="s">
        <v>48</v>
      </c>
      <c r="F256" t="s">
        <v>37</v>
      </c>
      <c r="G256" t="s">
        <v>66</v>
      </c>
      <c r="H256" t="s">
        <v>57</v>
      </c>
      <c r="I256" t="s">
        <v>101</v>
      </c>
      <c r="J256" t="s">
        <v>78</v>
      </c>
      <c r="K256" t="s">
        <v>792</v>
      </c>
      <c r="L256">
        <v>1</v>
      </c>
      <c r="M256">
        <v>37542</v>
      </c>
      <c r="N256">
        <v>37542</v>
      </c>
      <c r="O256">
        <v>5</v>
      </c>
      <c r="P256">
        <v>1877.1</v>
      </c>
      <c r="Q256">
        <v>35664.9</v>
      </c>
      <c r="R256" t="s">
        <v>43</v>
      </c>
      <c r="S256" t="s">
        <v>32</v>
      </c>
      <c r="T256">
        <v>16</v>
      </c>
      <c r="U256">
        <v>5706.384</v>
      </c>
    </row>
    <row r="257" spans="1:21" x14ac:dyDescent="0.25">
      <c r="A257" t="s">
        <v>793</v>
      </c>
      <c r="B257" s="8">
        <v>45959</v>
      </c>
      <c r="C257" t="s">
        <v>71</v>
      </c>
      <c r="D257" t="s">
        <v>794</v>
      </c>
      <c r="E257" t="s">
        <v>24</v>
      </c>
      <c r="F257" t="s">
        <v>65</v>
      </c>
      <c r="G257" t="s">
        <v>66</v>
      </c>
      <c r="H257" t="s">
        <v>57</v>
      </c>
      <c r="I257" t="s">
        <v>88</v>
      </c>
      <c r="J257" t="s">
        <v>78</v>
      </c>
      <c r="K257" t="s">
        <v>795</v>
      </c>
      <c r="L257">
        <v>6</v>
      </c>
      <c r="M257">
        <v>22088</v>
      </c>
      <c r="N257">
        <v>132528</v>
      </c>
      <c r="O257">
        <v>10</v>
      </c>
      <c r="P257">
        <v>13252.8</v>
      </c>
      <c r="Q257">
        <v>119275.2</v>
      </c>
      <c r="R257" t="s">
        <v>90</v>
      </c>
      <c r="S257" t="s">
        <v>69</v>
      </c>
      <c r="T257">
        <v>13</v>
      </c>
      <c r="U257">
        <v>15505.776</v>
      </c>
    </row>
    <row r="258" spans="1:21" x14ac:dyDescent="0.25">
      <c r="A258" t="s">
        <v>796</v>
      </c>
      <c r="B258" s="8">
        <v>45711</v>
      </c>
      <c r="C258" t="s">
        <v>22</v>
      </c>
      <c r="D258" t="s">
        <v>35</v>
      </c>
      <c r="E258" t="s">
        <v>48</v>
      </c>
      <c r="F258" t="s">
        <v>94</v>
      </c>
      <c r="G258" t="s">
        <v>66</v>
      </c>
      <c r="H258" t="s">
        <v>27</v>
      </c>
      <c r="I258" t="s">
        <v>75</v>
      </c>
      <c r="J258" t="s">
        <v>78</v>
      </c>
      <c r="K258" t="s">
        <v>797</v>
      </c>
      <c r="L258">
        <v>2</v>
      </c>
      <c r="M258">
        <v>23664</v>
      </c>
      <c r="N258">
        <v>47328</v>
      </c>
      <c r="O258">
        <v>20</v>
      </c>
      <c r="P258">
        <v>9465.6</v>
      </c>
      <c r="Q258">
        <v>37862.400000000001</v>
      </c>
      <c r="R258" t="s">
        <v>31</v>
      </c>
      <c r="S258" t="s">
        <v>44</v>
      </c>
      <c r="T258">
        <v>15</v>
      </c>
      <c r="U258">
        <v>5679.36</v>
      </c>
    </row>
    <row r="259" spans="1:21" x14ac:dyDescent="0.25">
      <c r="A259" t="s">
        <v>798</v>
      </c>
      <c r="B259" s="8">
        <v>45909</v>
      </c>
      <c r="C259" t="s">
        <v>92</v>
      </c>
      <c r="D259" t="s">
        <v>799</v>
      </c>
      <c r="E259" t="s">
        <v>24</v>
      </c>
      <c r="F259" t="s">
        <v>37</v>
      </c>
      <c r="G259" t="s">
        <v>26</v>
      </c>
      <c r="H259" t="s">
        <v>57</v>
      </c>
      <c r="I259" t="s">
        <v>50</v>
      </c>
      <c r="J259" t="s">
        <v>51</v>
      </c>
      <c r="K259" t="s">
        <v>800</v>
      </c>
      <c r="L259">
        <v>2</v>
      </c>
      <c r="M259">
        <v>21829</v>
      </c>
      <c r="N259">
        <v>43658</v>
      </c>
      <c r="O259">
        <v>20</v>
      </c>
      <c r="P259">
        <v>8731.6</v>
      </c>
      <c r="Q259">
        <v>34926.400000000001</v>
      </c>
      <c r="R259" t="s">
        <v>53</v>
      </c>
      <c r="S259" t="s">
        <v>44</v>
      </c>
      <c r="T259">
        <v>16</v>
      </c>
      <c r="U259">
        <v>5588.2240000000002</v>
      </c>
    </row>
    <row r="260" spans="1:21" x14ac:dyDescent="0.25">
      <c r="A260" t="s">
        <v>801</v>
      </c>
      <c r="B260" s="8">
        <v>45829</v>
      </c>
      <c r="C260" t="s">
        <v>22</v>
      </c>
      <c r="D260" t="s">
        <v>726</v>
      </c>
      <c r="E260" t="s">
        <v>36</v>
      </c>
      <c r="F260" t="s">
        <v>65</v>
      </c>
      <c r="G260" t="s">
        <v>66</v>
      </c>
      <c r="H260" t="s">
        <v>57</v>
      </c>
      <c r="I260" t="s">
        <v>40</v>
      </c>
      <c r="J260" t="s">
        <v>41</v>
      </c>
      <c r="K260" t="s">
        <v>802</v>
      </c>
      <c r="L260">
        <v>1</v>
      </c>
      <c r="M260">
        <v>44519</v>
      </c>
      <c r="N260">
        <v>44519</v>
      </c>
      <c r="O260">
        <v>5</v>
      </c>
      <c r="P260">
        <v>2225.9499999999998</v>
      </c>
      <c r="Q260">
        <v>42293.05</v>
      </c>
      <c r="R260" t="s">
        <v>31</v>
      </c>
      <c r="S260" t="s">
        <v>69</v>
      </c>
      <c r="T260">
        <v>30</v>
      </c>
      <c r="U260">
        <v>12687.915000000001</v>
      </c>
    </row>
    <row r="261" spans="1:21" x14ac:dyDescent="0.25">
      <c r="A261" t="s">
        <v>803</v>
      </c>
      <c r="B261" s="8">
        <v>45893</v>
      </c>
      <c r="C261" t="s">
        <v>120</v>
      </c>
      <c r="D261" t="s">
        <v>804</v>
      </c>
      <c r="E261" t="s">
        <v>36</v>
      </c>
      <c r="F261" t="s">
        <v>65</v>
      </c>
      <c r="G261" t="s">
        <v>38</v>
      </c>
      <c r="H261" t="s">
        <v>27</v>
      </c>
      <c r="I261" t="s">
        <v>28</v>
      </c>
      <c r="J261" t="s">
        <v>67</v>
      </c>
      <c r="K261" t="s">
        <v>805</v>
      </c>
      <c r="L261">
        <v>6</v>
      </c>
      <c r="M261">
        <v>32644</v>
      </c>
      <c r="N261">
        <v>195864</v>
      </c>
      <c r="O261">
        <v>20</v>
      </c>
      <c r="P261">
        <v>39172.800000000003</v>
      </c>
      <c r="Q261">
        <v>156691.20000000001</v>
      </c>
      <c r="R261" t="s">
        <v>53</v>
      </c>
      <c r="S261" t="s">
        <v>44</v>
      </c>
      <c r="T261">
        <v>14</v>
      </c>
      <c r="U261">
        <v>21936.768</v>
      </c>
    </row>
    <row r="262" spans="1:21" x14ac:dyDescent="0.25">
      <c r="A262" t="s">
        <v>806</v>
      </c>
      <c r="B262" s="8">
        <v>45903</v>
      </c>
      <c r="C262" t="s">
        <v>22</v>
      </c>
      <c r="D262" t="s">
        <v>755</v>
      </c>
      <c r="E262" t="s">
        <v>24</v>
      </c>
      <c r="F262" t="s">
        <v>25</v>
      </c>
      <c r="G262" t="s">
        <v>26</v>
      </c>
      <c r="H262" t="s">
        <v>39</v>
      </c>
      <c r="I262" t="s">
        <v>40</v>
      </c>
      <c r="J262" t="s">
        <v>29</v>
      </c>
      <c r="K262" t="s">
        <v>807</v>
      </c>
      <c r="L262">
        <v>6</v>
      </c>
      <c r="M262">
        <v>14000</v>
      </c>
      <c r="N262">
        <v>84000</v>
      </c>
      <c r="O262">
        <v>5</v>
      </c>
      <c r="P262">
        <v>4200</v>
      </c>
      <c r="Q262">
        <v>79800</v>
      </c>
      <c r="R262" t="s">
        <v>90</v>
      </c>
      <c r="S262" t="s">
        <v>32</v>
      </c>
      <c r="T262">
        <v>5</v>
      </c>
      <c r="U262">
        <v>3990</v>
      </c>
    </row>
    <row r="263" spans="1:21" x14ac:dyDescent="0.25">
      <c r="A263" t="s">
        <v>808</v>
      </c>
      <c r="B263" s="8">
        <v>45947</v>
      </c>
      <c r="C263" t="s">
        <v>147</v>
      </c>
      <c r="D263" t="s">
        <v>551</v>
      </c>
      <c r="E263" t="s">
        <v>36</v>
      </c>
      <c r="F263" t="s">
        <v>49</v>
      </c>
      <c r="G263" t="s">
        <v>26</v>
      </c>
      <c r="H263" t="s">
        <v>39</v>
      </c>
      <c r="I263" t="s">
        <v>28</v>
      </c>
      <c r="J263" t="s">
        <v>117</v>
      </c>
      <c r="K263" t="s">
        <v>809</v>
      </c>
      <c r="L263">
        <v>1</v>
      </c>
      <c r="M263">
        <v>48428</v>
      </c>
      <c r="N263">
        <v>48428</v>
      </c>
      <c r="O263">
        <v>15</v>
      </c>
      <c r="P263">
        <v>7264.2</v>
      </c>
      <c r="Q263">
        <v>41163.800000000003</v>
      </c>
      <c r="R263" t="s">
        <v>43</v>
      </c>
      <c r="S263" t="s">
        <v>32</v>
      </c>
      <c r="T263">
        <v>6</v>
      </c>
      <c r="U263">
        <v>2469.828</v>
      </c>
    </row>
    <row r="264" spans="1:21" x14ac:dyDescent="0.25">
      <c r="A264" t="s">
        <v>810</v>
      </c>
      <c r="B264" s="8">
        <v>45672</v>
      </c>
      <c r="C264" t="s">
        <v>46</v>
      </c>
      <c r="D264" t="s">
        <v>811</v>
      </c>
      <c r="E264" t="s">
        <v>48</v>
      </c>
      <c r="F264" t="s">
        <v>56</v>
      </c>
      <c r="G264" t="s">
        <v>38</v>
      </c>
      <c r="H264" t="s">
        <v>57</v>
      </c>
      <c r="I264" t="s">
        <v>101</v>
      </c>
      <c r="J264" t="s">
        <v>29</v>
      </c>
      <c r="K264" t="s">
        <v>812</v>
      </c>
      <c r="L264">
        <v>5</v>
      </c>
      <c r="M264">
        <v>37011</v>
      </c>
      <c r="N264">
        <v>185055</v>
      </c>
      <c r="O264">
        <v>20</v>
      </c>
      <c r="P264">
        <v>37011</v>
      </c>
      <c r="Q264">
        <v>148044</v>
      </c>
      <c r="R264" t="s">
        <v>53</v>
      </c>
      <c r="S264" t="s">
        <v>32</v>
      </c>
      <c r="T264">
        <v>29</v>
      </c>
      <c r="U264">
        <v>42932.76</v>
      </c>
    </row>
    <row r="265" spans="1:21" x14ac:dyDescent="0.25">
      <c r="A265" t="s">
        <v>813</v>
      </c>
      <c r="B265" s="8">
        <v>45984</v>
      </c>
      <c r="C265" t="s">
        <v>71</v>
      </c>
      <c r="D265" t="s">
        <v>814</v>
      </c>
      <c r="E265" t="s">
        <v>36</v>
      </c>
      <c r="F265" t="s">
        <v>56</v>
      </c>
      <c r="G265" t="s">
        <v>38</v>
      </c>
      <c r="H265" t="s">
        <v>27</v>
      </c>
      <c r="I265" t="s">
        <v>40</v>
      </c>
      <c r="J265" t="s">
        <v>29</v>
      </c>
      <c r="K265" t="s">
        <v>815</v>
      </c>
      <c r="L265">
        <v>6</v>
      </c>
      <c r="M265">
        <v>48389</v>
      </c>
      <c r="N265">
        <v>290334</v>
      </c>
      <c r="O265">
        <v>0</v>
      </c>
      <c r="P265">
        <v>0</v>
      </c>
      <c r="Q265">
        <v>290334</v>
      </c>
      <c r="R265" t="s">
        <v>43</v>
      </c>
      <c r="S265" t="s">
        <v>44</v>
      </c>
      <c r="T265">
        <v>22</v>
      </c>
      <c r="U265">
        <v>63873.48</v>
      </c>
    </row>
    <row r="266" spans="1:21" x14ac:dyDescent="0.25">
      <c r="A266" t="s">
        <v>816</v>
      </c>
      <c r="B266" s="8">
        <v>45957</v>
      </c>
      <c r="C266" t="s">
        <v>147</v>
      </c>
      <c r="D266" t="s">
        <v>208</v>
      </c>
      <c r="E266" t="s">
        <v>24</v>
      </c>
      <c r="F266" t="s">
        <v>83</v>
      </c>
      <c r="G266" t="s">
        <v>26</v>
      </c>
      <c r="H266" t="s">
        <v>39</v>
      </c>
      <c r="I266" t="s">
        <v>40</v>
      </c>
      <c r="J266" t="s">
        <v>41</v>
      </c>
      <c r="K266" t="s">
        <v>817</v>
      </c>
      <c r="L266">
        <v>1</v>
      </c>
      <c r="M266">
        <v>9503</v>
      </c>
      <c r="N266">
        <v>9503</v>
      </c>
      <c r="O266">
        <v>15</v>
      </c>
      <c r="P266">
        <v>1425.45</v>
      </c>
      <c r="Q266">
        <v>8077.55</v>
      </c>
      <c r="R266" t="s">
        <v>31</v>
      </c>
      <c r="S266" t="s">
        <v>44</v>
      </c>
      <c r="T266">
        <v>24</v>
      </c>
      <c r="U266">
        <v>1938.6120000000001</v>
      </c>
    </row>
    <row r="267" spans="1:21" x14ac:dyDescent="0.25">
      <c r="A267" t="s">
        <v>818</v>
      </c>
      <c r="B267" s="8">
        <v>45692</v>
      </c>
      <c r="C267" t="s">
        <v>86</v>
      </c>
      <c r="D267" t="s">
        <v>819</v>
      </c>
      <c r="E267" t="s">
        <v>36</v>
      </c>
      <c r="F267" t="s">
        <v>25</v>
      </c>
      <c r="G267" t="s">
        <v>26</v>
      </c>
      <c r="H267" t="s">
        <v>39</v>
      </c>
      <c r="I267" t="s">
        <v>50</v>
      </c>
      <c r="J267" t="s">
        <v>78</v>
      </c>
      <c r="K267" t="s">
        <v>820</v>
      </c>
      <c r="L267">
        <v>6</v>
      </c>
      <c r="M267">
        <v>561</v>
      </c>
      <c r="N267">
        <v>3366</v>
      </c>
      <c r="O267">
        <v>15</v>
      </c>
      <c r="P267">
        <v>504.9</v>
      </c>
      <c r="Q267">
        <v>2861.1</v>
      </c>
      <c r="R267" t="s">
        <v>90</v>
      </c>
      <c r="S267" t="s">
        <v>69</v>
      </c>
      <c r="T267">
        <v>18</v>
      </c>
      <c r="U267">
        <v>514.99799999999993</v>
      </c>
    </row>
    <row r="268" spans="1:21" x14ac:dyDescent="0.25">
      <c r="A268" t="s">
        <v>821</v>
      </c>
      <c r="B268" s="8">
        <v>45902</v>
      </c>
      <c r="C268" t="s">
        <v>46</v>
      </c>
      <c r="D268" t="s">
        <v>822</v>
      </c>
      <c r="E268" t="s">
        <v>36</v>
      </c>
      <c r="F268" t="s">
        <v>65</v>
      </c>
      <c r="G268" t="s">
        <v>66</v>
      </c>
      <c r="H268" t="s">
        <v>57</v>
      </c>
      <c r="I268" t="s">
        <v>50</v>
      </c>
      <c r="J268" t="s">
        <v>117</v>
      </c>
      <c r="K268" t="s">
        <v>823</v>
      </c>
      <c r="L268">
        <v>4</v>
      </c>
      <c r="M268">
        <v>11060</v>
      </c>
      <c r="N268">
        <v>44240</v>
      </c>
      <c r="O268">
        <v>0</v>
      </c>
      <c r="P268">
        <v>0</v>
      </c>
      <c r="Q268">
        <v>44240</v>
      </c>
      <c r="R268" t="s">
        <v>53</v>
      </c>
      <c r="S268" t="s">
        <v>44</v>
      </c>
      <c r="T268">
        <v>6</v>
      </c>
      <c r="U268">
        <v>2654.4</v>
      </c>
    </row>
    <row r="269" spans="1:21" x14ac:dyDescent="0.25">
      <c r="A269" t="s">
        <v>824</v>
      </c>
      <c r="B269" s="8">
        <v>45998</v>
      </c>
      <c r="C269" t="s">
        <v>92</v>
      </c>
      <c r="D269" t="s">
        <v>825</v>
      </c>
      <c r="E269" t="s">
        <v>48</v>
      </c>
      <c r="F269" t="s">
        <v>49</v>
      </c>
      <c r="G269" t="s">
        <v>66</v>
      </c>
      <c r="H269" t="s">
        <v>57</v>
      </c>
      <c r="I269" t="s">
        <v>88</v>
      </c>
      <c r="J269" t="s">
        <v>117</v>
      </c>
      <c r="K269" t="s">
        <v>826</v>
      </c>
      <c r="L269">
        <v>7</v>
      </c>
      <c r="M269">
        <v>28105</v>
      </c>
      <c r="N269">
        <v>196735</v>
      </c>
      <c r="O269">
        <v>5</v>
      </c>
      <c r="P269">
        <v>9836.75</v>
      </c>
      <c r="Q269">
        <v>186898.25</v>
      </c>
      <c r="R269" t="s">
        <v>31</v>
      </c>
      <c r="S269" t="s">
        <v>32</v>
      </c>
      <c r="T269">
        <v>26</v>
      </c>
      <c r="U269">
        <v>48593.544999999998</v>
      </c>
    </row>
    <row r="270" spans="1:21" x14ac:dyDescent="0.25">
      <c r="A270" t="s">
        <v>827</v>
      </c>
      <c r="B270" s="8">
        <v>45817</v>
      </c>
      <c r="C270" t="s">
        <v>147</v>
      </c>
      <c r="D270" t="s">
        <v>828</v>
      </c>
      <c r="E270" t="s">
        <v>73</v>
      </c>
      <c r="F270" t="s">
        <v>83</v>
      </c>
      <c r="G270" t="s">
        <v>66</v>
      </c>
      <c r="H270" t="s">
        <v>57</v>
      </c>
      <c r="I270" t="s">
        <v>50</v>
      </c>
      <c r="J270" t="s">
        <v>78</v>
      </c>
      <c r="K270" t="s">
        <v>829</v>
      </c>
      <c r="L270">
        <v>3</v>
      </c>
      <c r="M270">
        <v>46533</v>
      </c>
      <c r="N270">
        <v>139599</v>
      </c>
      <c r="O270">
        <v>15</v>
      </c>
      <c r="P270">
        <v>20939.849999999999</v>
      </c>
      <c r="Q270">
        <v>118659.15</v>
      </c>
      <c r="R270" t="s">
        <v>53</v>
      </c>
      <c r="S270" t="s">
        <v>44</v>
      </c>
      <c r="T270">
        <v>30</v>
      </c>
      <c r="U270">
        <v>35597.745000000003</v>
      </c>
    </row>
    <row r="271" spans="1:21" x14ac:dyDescent="0.25">
      <c r="A271" t="s">
        <v>830</v>
      </c>
      <c r="B271" s="8">
        <v>45793</v>
      </c>
      <c r="C271" t="s">
        <v>34</v>
      </c>
      <c r="D271" t="s">
        <v>831</v>
      </c>
      <c r="E271" t="s">
        <v>24</v>
      </c>
      <c r="F271" t="s">
        <v>56</v>
      </c>
      <c r="G271" t="s">
        <v>38</v>
      </c>
      <c r="H271" t="s">
        <v>57</v>
      </c>
      <c r="I271" t="s">
        <v>50</v>
      </c>
      <c r="J271" t="s">
        <v>117</v>
      </c>
      <c r="K271" t="s">
        <v>832</v>
      </c>
      <c r="L271">
        <v>9</v>
      </c>
      <c r="M271">
        <v>22845</v>
      </c>
      <c r="N271">
        <v>205605</v>
      </c>
      <c r="O271">
        <v>10</v>
      </c>
      <c r="P271">
        <v>20560.5</v>
      </c>
      <c r="Q271">
        <v>185044.5</v>
      </c>
      <c r="R271" t="s">
        <v>53</v>
      </c>
      <c r="S271" t="s">
        <v>44</v>
      </c>
      <c r="T271">
        <v>23</v>
      </c>
      <c r="U271">
        <v>42560.235000000001</v>
      </c>
    </row>
    <row r="272" spans="1:21" x14ac:dyDescent="0.25">
      <c r="A272" t="s">
        <v>833</v>
      </c>
      <c r="B272" s="8">
        <v>45836</v>
      </c>
      <c r="C272" t="s">
        <v>92</v>
      </c>
      <c r="D272" t="s">
        <v>834</v>
      </c>
      <c r="E272" t="s">
        <v>73</v>
      </c>
      <c r="F272" t="s">
        <v>74</v>
      </c>
      <c r="G272" t="s">
        <v>66</v>
      </c>
      <c r="H272" t="s">
        <v>57</v>
      </c>
      <c r="I272" t="s">
        <v>88</v>
      </c>
      <c r="J272" t="s">
        <v>78</v>
      </c>
      <c r="K272" t="s">
        <v>835</v>
      </c>
      <c r="L272">
        <v>4</v>
      </c>
      <c r="M272">
        <v>41841</v>
      </c>
      <c r="N272">
        <v>167364</v>
      </c>
      <c r="O272">
        <v>20</v>
      </c>
      <c r="P272">
        <v>33472.800000000003</v>
      </c>
      <c r="Q272">
        <v>133891.20000000001</v>
      </c>
      <c r="R272" t="s">
        <v>90</v>
      </c>
      <c r="S272" t="s">
        <v>69</v>
      </c>
      <c r="T272">
        <v>9</v>
      </c>
      <c r="U272">
        <v>12050.208000000001</v>
      </c>
    </row>
    <row r="273" spans="1:21" x14ac:dyDescent="0.25">
      <c r="A273" t="s">
        <v>836</v>
      </c>
      <c r="B273" s="8">
        <v>45929</v>
      </c>
      <c r="C273" t="s">
        <v>71</v>
      </c>
      <c r="D273" t="s">
        <v>837</v>
      </c>
      <c r="E273" t="s">
        <v>48</v>
      </c>
      <c r="F273" t="s">
        <v>37</v>
      </c>
      <c r="G273" t="s">
        <v>38</v>
      </c>
      <c r="H273" t="s">
        <v>39</v>
      </c>
      <c r="I273" t="s">
        <v>40</v>
      </c>
      <c r="J273" t="s">
        <v>29</v>
      </c>
      <c r="K273" t="s">
        <v>838</v>
      </c>
      <c r="L273">
        <v>3</v>
      </c>
      <c r="M273">
        <v>40332</v>
      </c>
      <c r="N273">
        <v>120996</v>
      </c>
      <c r="O273">
        <v>5</v>
      </c>
      <c r="P273">
        <v>6049.8</v>
      </c>
      <c r="Q273">
        <v>114946.2</v>
      </c>
      <c r="R273" t="s">
        <v>90</v>
      </c>
      <c r="S273" t="s">
        <v>69</v>
      </c>
      <c r="T273">
        <v>17</v>
      </c>
      <c r="U273">
        <v>19540.853999999999</v>
      </c>
    </row>
    <row r="274" spans="1:21" x14ac:dyDescent="0.25">
      <c r="A274" t="s">
        <v>839</v>
      </c>
      <c r="B274" s="8">
        <v>45811</v>
      </c>
      <c r="C274" t="s">
        <v>147</v>
      </c>
      <c r="D274" t="s">
        <v>47</v>
      </c>
      <c r="E274" t="s">
        <v>36</v>
      </c>
      <c r="F274" t="s">
        <v>49</v>
      </c>
      <c r="G274" t="s">
        <v>66</v>
      </c>
      <c r="H274" t="s">
        <v>57</v>
      </c>
      <c r="I274" t="s">
        <v>28</v>
      </c>
      <c r="J274" t="s">
        <v>29</v>
      </c>
      <c r="K274" t="s">
        <v>840</v>
      </c>
      <c r="L274">
        <v>7</v>
      </c>
      <c r="M274">
        <v>43311</v>
      </c>
      <c r="N274">
        <v>303177</v>
      </c>
      <c r="O274">
        <v>0</v>
      </c>
      <c r="P274">
        <v>0</v>
      </c>
      <c r="Q274">
        <v>303177</v>
      </c>
      <c r="R274" t="s">
        <v>43</v>
      </c>
      <c r="S274" t="s">
        <v>69</v>
      </c>
      <c r="T274">
        <v>18</v>
      </c>
      <c r="U274">
        <v>54571.86</v>
      </c>
    </row>
    <row r="275" spans="1:21" x14ac:dyDescent="0.25">
      <c r="A275" t="s">
        <v>841</v>
      </c>
      <c r="B275" s="8">
        <v>45769</v>
      </c>
      <c r="C275" t="s">
        <v>46</v>
      </c>
      <c r="D275" t="s">
        <v>842</v>
      </c>
      <c r="E275" t="s">
        <v>48</v>
      </c>
      <c r="F275" t="s">
        <v>37</v>
      </c>
      <c r="G275" t="s">
        <v>26</v>
      </c>
      <c r="H275" t="s">
        <v>39</v>
      </c>
      <c r="I275" t="s">
        <v>101</v>
      </c>
      <c r="J275" t="s">
        <v>67</v>
      </c>
      <c r="K275" t="s">
        <v>843</v>
      </c>
      <c r="L275">
        <v>3</v>
      </c>
      <c r="M275">
        <v>41817</v>
      </c>
      <c r="N275">
        <v>125451</v>
      </c>
      <c r="O275">
        <v>0</v>
      </c>
      <c r="P275">
        <v>0</v>
      </c>
      <c r="Q275">
        <v>125451</v>
      </c>
      <c r="R275" t="s">
        <v>31</v>
      </c>
      <c r="S275" t="s">
        <v>32</v>
      </c>
      <c r="T275">
        <v>13</v>
      </c>
      <c r="U275">
        <v>16308.63</v>
      </c>
    </row>
    <row r="276" spans="1:21" x14ac:dyDescent="0.25">
      <c r="A276" t="s">
        <v>844</v>
      </c>
      <c r="B276" s="8">
        <v>45780</v>
      </c>
      <c r="C276" t="s">
        <v>147</v>
      </c>
      <c r="D276" t="s">
        <v>548</v>
      </c>
      <c r="E276" t="s">
        <v>73</v>
      </c>
      <c r="F276" t="s">
        <v>49</v>
      </c>
      <c r="G276" t="s">
        <v>26</v>
      </c>
      <c r="H276" t="s">
        <v>57</v>
      </c>
      <c r="I276" t="s">
        <v>101</v>
      </c>
      <c r="J276" t="s">
        <v>78</v>
      </c>
      <c r="K276" t="s">
        <v>845</v>
      </c>
      <c r="L276">
        <v>1</v>
      </c>
      <c r="M276">
        <v>48661</v>
      </c>
      <c r="N276">
        <v>48661</v>
      </c>
      <c r="O276">
        <v>5</v>
      </c>
      <c r="P276">
        <v>2433.0500000000002</v>
      </c>
      <c r="Q276">
        <v>46227.95</v>
      </c>
      <c r="R276" t="s">
        <v>53</v>
      </c>
      <c r="S276" t="s">
        <v>44</v>
      </c>
      <c r="T276">
        <v>25</v>
      </c>
      <c r="U276">
        <v>11556.987499999999</v>
      </c>
    </row>
    <row r="277" spans="1:21" x14ac:dyDescent="0.25">
      <c r="A277" t="s">
        <v>846</v>
      </c>
      <c r="B277" s="8">
        <v>46016</v>
      </c>
      <c r="C277" t="s">
        <v>34</v>
      </c>
      <c r="D277" t="s">
        <v>847</v>
      </c>
      <c r="E277" t="s">
        <v>73</v>
      </c>
      <c r="F277" t="s">
        <v>94</v>
      </c>
      <c r="G277" t="s">
        <v>38</v>
      </c>
      <c r="H277" t="s">
        <v>39</v>
      </c>
      <c r="I277" t="s">
        <v>75</v>
      </c>
      <c r="J277" t="s">
        <v>67</v>
      </c>
      <c r="K277" t="s">
        <v>848</v>
      </c>
      <c r="L277">
        <v>10</v>
      </c>
      <c r="M277">
        <v>48714</v>
      </c>
      <c r="N277">
        <v>487140</v>
      </c>
      <c r="O277">
        <v>10</v>
      </c>
      <c r="P277">
        <v>48714</v>
      </c>
      <c r="Q277">
        <v>438426</v>
      </c>
      <c r="R277" t="s">
        <v>31</v>
      </c>
      <c r="S277" t="s">
        <v>44</v>
      </c>
      <c r="T277">
        <v>6</v>
      </c>
      <c r="U277">
        <v>26305.56</v>
      </c>
    </row>
    <row r="278" spans="1:21" x14ac:dyDescent="0.25">
      <c r="A278" t="s">
        <v>849</v>
      </c>
      <c r="B278" s="8">
        <v>45906</v>
      </c>
      <c r="C278" t="s">
        <v>71</v>
      </c>
      <c r="D278" t="s">
        <v>850</v>
      </c>
      <c r="E278" t="s">
        <v>36</v>
      </c>
      <c r="F278" t="s">
        <v>25</v>
      </c>
      <c r="G278" t="s">
        <v>26</v>
      </c>
      <c r="H278" t="s">
        <v>27</v>
      </c>
      <c r="I278" t="s">
        <v>50</v>
      </c>
      <c r="J278" t="s">
        <v>51</v>
      </c>
      <c r="K278" t="s">
        <v>851</v>
      </c>
      <c r="L278">
        <v>1</v>
      </c>
      <c r="M278">
        <v>49387</v>
      </c>
      <c r="N278">
        <v>49387</v>
      </c>
      <c r="O278">
        <v>0</v>
      </c>
      <c r="P278">
        <v>0</v>
      </c>
      <c r="Q278">
        <v>49387</v>
      </c>
      <c r="R278" t="s">
        <v>43</v>
      </c>
      <c r="S278" t="s">
        <v>32</v>
      </c>
      <c r="T278">
        <v>9</v>
      </c>
      <c r="U278">
        <v>4444.83</v>
      </c>
    </row>
    <row r="279" spans="1:21" x14ac:dyDescent="0.25">
      <c r="A279" t="s">
        <v>852</v>
      </c>
      <c r="B279" s="8">
        <v>45802</v>
      </c>
      <c r="C279" t="s">
        <v>92</v>
      </c>
      <c r="D279" t="s">
        <v>853</v>
      </c>
      <c r="E279" t="s">
        <v>48</v>
      </c>
      <c r="F279" t="s">
        <v>74</v>
      </c>
      <c r="G279" t="s">
        <v>66</v>
      </c>
      <c r="H279" t="s">
        <v>57</v>
      </c>
      <c r="I279" t="s">
        <v>88</v>
      </c>
      <c r="J279" t="s">
        <v>41</v>
      </c>
      <c r="K279" t="s">
        <v>854</v>
      </c>
      <c r="L279">
        <v>7</v>
      </c>
      <c r="M279">
        <v>43526</v>
      </c>
      <c r="N279">
        <v>304682</v>
      </c>
      <c r="O279">
        <v>5</v>
      </c>
      <c r="P279">
        <v>15234.1</v>
      </c>
      <c r="Q279">
        <v>289447.90000000002</v>
      </c>
      <c r="R279" t="s">
        <v>53</v>
      </c>
      <c r="S279" t="s">
        <v>32</v>
      </c>
      <c r="T279">
        <v>10</v>
      </c>
      <c r="U279">
        <v>28944.79</v>
      </c>
    </row>
    <row r="280" spans="1:21" x14ac:dyDescent="0.25">
      <c r="A280" t="s">
        <v>855</v>
      </c>
      <c r="B280" s="8">
        <v>45732</v>
      </c>
      <c r="C280" t="s">
        <v>46</v>
      </c>
      <c r="D280" t="s">
        <v>856</v>
      </c>
      <c r="E280" t="s">
        <v>73</v>
      </c>
      <c r="F280" t="s">
        <v>74</v>
      </c>
      <c r="G280" t="s">
        <v>66</v>
      </c>
      <c r="H280" t="s">
        <v>57</v>
      </c>
      <c r="I280" t="s">
        <v>88</v>
      </c>
      <c r="J280" t="s">
        <v>51</v>
      </c>
      <c r="K280" t="s">
        <v>857</v>
      </c>
      <c r="L280">
        <v>8</v>
      </c>
      <c r="M280">
        <v>10963</v>
      </c>
      <c r="N280">
        <v>87704</v>
      </c>
      <c r="O280">
        <v>5</v>
      </c>
      <c r="P280">
        <v>4385.2</v>
      </c>
      <c r="Q280">
        <v>83318.8</v>
      </c>
      <c r="R280" t="s">
        <v>43</v>
      </c>
      <c r="S280" t="s">
        <v>69</v>
      </c>
      <c r="T280">
        <v>30</v>
      </c>
      <c r="U280">
        <v>24995.64</v>
      </c>
    </row>
    <row r="281" spans="1:21" x14ac:dyDescent="0.25">
      <c r="A281" t="s">
        <v>858</v>
      </c>
      <c r="B281" s="8">
        <v>45934</v>
      </c>
      <c r="C281" t="s">
        <v>86</v>
      </c>
      <c r="D281" t="s">
        <v>859</v>
      </c>
      <c r="E281" t="s">
        <v>24</v>
      </c>
      <c r="F281" t="s">
        <v>65</v>
      </c>
      <c r="G281" t="s">
        <v>66</v>
      </c>
      <c r="H281" t="s">
        <v>57</v>
      </c>
      <c r="I281" t="s">
        <v>88</v>
      </c>
      <c r="J281" t="s">
        <v>67</v>
      </c>
      <c r="K281" t="s">
        <v>860</v>
      </c>
      <c r="L281">
        <v>4</v>
      </c>
      <c r="M281">
        <v>43103</v>
      </c>
      <c r="N281">
        <v>172412</v>
      </c>
      <c r="O281">
        <v>0</v>
      </c>
      <c r="P281">
        <v>0</v>
      </c>
      <c r="Q281">
        <v>172412</v>
      </c>
      <c r="R281" t="s">
        <v>90</v>
      </c>
      <c r="S281" t="s">
        <v>44</v>
      </c>
      <c r="T281">
        <v>9</v>
      </c>
      <c r="U281">
        <v>15517.08</v>
      </c>
    </row>
    <row r="282" spans="1:21" x14ac:dyDescent="0.25">
      <c r="A282" t="s">
        <v>861</v>
      </c>
      <c r="B282" s="8">
        <v>45965</v>
      </c>
      <c r="C282" t="s">
        <v>22</v>
      </c>
      <c r="D282" t="s">
        <v>862</v>
      </c>
      <c r="E282" t="s">
        <v>73</v>
      </c>
      <c r="F282" t="s">
        <v>25</v>
      </c>
      <c r="G282" t="s">
        <v>26</v>
      </c>
      <c r="H282" t="s">
        <v>39</v>
      </c>
      <c r="I282" t="s">
        <v>75</v>
      </c>
      <c r="J282" t="s">
        <v>117</v>
      </c>
      <c r="K282" t="s">
        <v>863</v>
      </c>
      <c r="L282">
        <v>8</v>
      </c>
      <c r="M282">
        <v>17323</v>
      </c>
      <c r="N282">
        <v>138584</v>
      </c>
      <c r="O282">
        <v>20</v>
      </c>
      <c r="P282">
        <v>27716.799999999999</v>
      </c>
      <c r="Q282">
        <v>110867.2</v>
      </c>
      <c r="R282" t="s">
        <v>53</v>
      </c>
      <c r="S282" t="s">
        <v>32</v>
      </c>
      <c r="T282">
        <v>22</v>
      </c>
      <c r="U282">
        <v>24390.784</v>
      </c>
    </row>
    <row r="283" spans="1:21" x14ac:dyDescent="0.25">
      <c r="A283" t="s">
        <v>864</v>
      </c>
      <c r="B283" s="8">
        <v>45956</v>
      </c>
      <c r="C283" t="s">
        <v>71</v>
      </c>
      <c r="D283" t="s">
        <v>683</v>
      </c>
      <c r="E283" t="s">
        <v>24</v>
      </c>
      <c r="F283" t="s">
        <v>49</v>
      </c>
      <c r="G283" t="s">
        <v>66</v>
      </c>
      <c r="H283" t="s">
        <v>27</v>
      </c>
      <c r="I283" t="s">
        <v>40</v>
      </c>
      <c r="J283" t="s">
        <v>67</v>
      </c>
      <c r="K283" t="s">
        <v>865</v>
      </c>
      <c r="L283">
        <v>9</v>
      </c>
      <c r="M283">
        <v>22961</v>
      </c>
      <c r="N283">
        <v>206649</v>
      </c>
      <c r="O283">
        <v>10</v>
      </c>
      <c r="P283">
        <v>20664.900000000001</v>
      </c>
      <c r="Q283">
        <v>185984.1</v>
      </c>
      <c r="R283" t="s">
        <v>31</v>
      </c>
      <c r="S283" t="s">
        <v>44</v>
      </c>
      <c r="T283">
        <v>23</v>
      </c>
      <c r="U283">
        <v>42776.343000000001</v>
      </c>
    </row>
    <row r="284" spans="1:21" x14ac:dyDescent="0.25">
      <c r="A284" t="s">
        <v>866</v>
      </c>
      <c r="B284" s="8">
        <v>45667</v>
      </c>
      <c r="C284" t="s">
        <v>46</v>
      </c>
      <c r="D284" t="s">
        <v>587</v>
      </c>
      <c r="E284" t="s">
        <v>36</v>
      </c>
      <c r="F284" t="s">
        <v>94</v>
      </c>
      <c r="G284" t="s">
        <v>66</v>
      </c>
      <c r="H284" t="s">
        <v>39</v>
      </c>
      <c r="I284" t="s">
        <v>101</v>
      </c>
      <c r="J284" t="s">
        <v>67</v>
      </c>
      <c r="K284" t="s">
        <v>867</v>
      </c>
      <c r="L284">
        <v>5</v>
      </c>
      <c r="M284">
        <v>17087</v>
      </c>
      <c r="N284">
        <v>85435</v>
      </c>
      <c r="O284">
        <v>20</v>
      </c>
      <c r="P284">
        <v>17087</v>
      </c>
      <c r="Q284">
        <v>68348</v>
      </c>
      <c r="R284" t="s">
        <v>43</v>
      </c>
      <c r="S284" t="s">
        <v>69</v>
      </c>
      <c r="T284">
        <v>29</v>
      </c>
      <c r="U284">
        <v>19820.919999999998</v>
      </c>
    </row>
    <row r="285" spans="1:21" x14ac:dyDescent="0.25">
      <c r="A285" t="s">
        <v>868</v>
      </c>
      <c r="B285" s="8">
        <v>46018</v>
      </c>
      <c r="C285" t="s">
        <v>81</v>
      </c>
      <c r="D285" t="s">
        <v>772</v>
      </c>
      <c r="E285" t="s">
        <v>48</v>
      </c>
      <c r="F285" t="s">
        <v>37</v>
      </c>
      <c r="G285" t="s">
        <v>26</v>
      </c>
      <c r="H285" t="s">
        <v>39</v>
      </c>
      <c r="I285" t="s">
        <v>50</v>
      </c>
      <c r="J285" t="s">
        <v>29</v>
      </c>
      <c r="K285" t="s">
        <v>869</v>
      </c>
      <c r="L285">
        <v>6</v>
      </c>
      <c r="M285">
        <v>36155</v>
      </c>
      <c r="N285">
        <v>216930</v>
      </c>
      <c r="O285">
        <v>0</v>
      </c>
      <c r="P285">
        <v>0</v>
      </c>
      <c r="Q285">
        <v>216930</v>
      </c>
      <c r="R285" t="s">
        <v>90</v>
      </c>
      <c r="S285" t="s">
        <v>44</v>
      </c>
      <c r="T285">
        <v>19</v>
      </c>
      <c r="U285">
        <v>41216.699999999997</v>
      </c>
    </row>
    <row r="286" spans="1:21" x14ac:dyDescent="0.25">
      <c r="A286" t="s">
        <v>870</v>
      </c>
      <c r="B286" s="8">
        <v>45879</v>
      </c>
      <c r="C286" t="s">
        <v>120</v>
      </c>
      <c r="D286" t="s">
        <v>871</v>
      </c>
      <c r="E286" t="s">
        <v>48</v>
      </c>
      <c r="F286" t="s">
        <v>65</v>
      </c>
      <c r="G286" t="s">
        <v>38</v>
      </c>
      <c r="H286" t="s">
        <v>39</v>
      </c>
      <c r="I286" t="s">
        <v>50</v>
      </c>
      <c r="J286" t="s">
        <v>78</v>
      </c>
      <c r="K286" t="s">
        <v>872</v>
      </c>
      <c r="L286">
        <v>3</v>
      </c>
      <c r="M286">
        <v>32233</v>
      </c>
      <c r="N286">
        <v>96699</v>
      </c>
      <c r="O286">
        <v>20</v>
      </c>
      <c r="P286">
        <v>19339.8</v>
      </c>
      <c r="Q286">
        <v>77359.199999999997</v>
      </c>
      <c r="R286" t="s">
        <v>31</v>
      </c>
      <c r="S286" t="s">
        <v>32</v>
      </c>
      <c r="T286">
        <v>28</v>
      </c>
      <c r="U286">
        <v>21660.576000000001</v>
      </c>
    </row>
    <row r="287" spans="1:21" x14ac:dyDescent="0.25">
      <c r="A287" t="s">
        <v>873</v>
      </c>
      <c r="B287" s="8">
        <v>45805</v>
      </c>
      <c r="C287" t="s">
        <v>34</v>
      </c>
      <c r="D287" t="s">
        <v>874</v>
      </c>
      <c r="E287" t="s">
        <v>24</v>
      </c>
      <c r="F287" t="s">
        <v>83</v>
      </c>
      <c r="G287" t="s">
        <v>26</v>
      </c>
      <c r="H287" t="s">
        <v>57</v>
      </c>
      <c r="I287" t="s">
        <v>40</v>
      </c>
      <c r="J287" t="s">
        <v>41</v>
      </c>
      <c r="K287" t="s">
        <v>875</v>
      </c>
      <c r="L287">
        <v>2</v>
      </c>
      <c r="M287">
        <v>2514</v>
      </c>
      <c r="N287">
        <v>5028</v>
      </c>
      <c r="O287">
        <v>0</v>
      </c>
      <c r="P287">
        <v>0</v>
      </c>
      <c r="Q287">
        <v>5028</v>
      </c>
      <c r="R287" t="s">
        <v>53</v>
      </c>
      <c r="S287" t="s">
        <v>69</v>
      </c>
      <c r="T287">
        <v>30</v>
      </c>
      <c r="U287">
        <v>1508.4</v>
      </c>
    </row>
    <row r="288" spans="1:21" x14ac:dyDescent="0.25">
      <c r="A288" t="s">
        <v>876</v>
      </c>
      <c r="B288" s="8">
        <v>45869</v>
      </c>
      <c r="C288" t="s">
        <v>147</v>
      </c>
      <c r="D288" t="s">
        <v>877</v>
      </c>
      <c r="E288" t="s">
        <v>36</v>
      </c>
      <c r="F288" t="s">
        <v>65</v>
      </c>
      <c r="G288" t="s">
        <v>66</v>
      </c>
      <c r="H288" t="s">
        <v>57</v>
      </c>
      <c r="I288" t="s">
        <v>101</v>
      </c>
      <c r="J288" t="s">
        <v>41</v>
      </c>
      <c r="K288" t="s">
        <v>878</v>
      </c>
      <c r="L288">
        <v>3</v>
      </c>
      <c r="M288">
        <v>45387</v>
      </c>
      <c r="N288">
        <v>136161</v>
      </c>
      <c r="O288">
        <v>0</v>
      </c>
      <c r="P288">
        <v>0</v>
      </c>
      <c r="Q288">
        <v>136161</v>
      </c>
      <c r="R288" t="s">
        <v>53</v>
      </c>
      <c r="S288" t="s">
        <v>44</v>
      </c>
      <c r="T288">
        <v>5</v>
      </c>
      <c r="U288">
        <v>6808.05</v>
      </c>
    </row>
    <row r="289" spans="1:21" x14ac:dyDescent="0.25">
      <c r="A289" t="s">
        <v>879</v>
      </c>
      <c r="B289" s="8">
        <v>45811</v>
      </c>
      <c r="C289" t="s">
        <v>120</v>
      </c>
      <c r="D289" t="s">
        <v>880</v>
      </c>
      <c r="E289" t="s">
        <v>73</v>
      </c>
      <c r="F289" t="s">
        <v>37</v>
      </c>
      <c r="G289" t="s">
        <v>26</v>
      </c>
      <c r="H289" t="s">
        <v>57</v>
      </c>
      <c r="I289" t="s">
        <v>40</v>
      </c>
      <c r="J289" t="s">
        <v>29</v>
      </c>
      <c r="K289" t="s">
        <v>881</v>
      </c>
      <c r="L289">
        <v>10</v>
      </c>
      <c r="M289">
        <v>16576</v>
      </c>
      <c r="N289">
        <v>165760</v>
      </c>
      <c r="O289">
        <v>10</v>
      </c>
      <c r="P289">
        <v>16576</v>
      </c>
      <c r="Q289">
        <v>149184</v>
      </c>
      <c r="R289" t="s">
        <v>90</v>
      </c>
      <c r="S289" t="s">
        <v>44</v>
      </c>
      <c r="T289">
        <v>21</v>
      </c>
      <c r="U289">
        <v>31328.639999999999</v>
      </c>
    </row>
    <row r="290" spans="1:21" x14ac:dyDescent="0.25">
      <c r="A290" t="s">
        <v>882</v>
      </c>
      <c r="B290" s="8">
        <v>45825</v>
      </c>
      <c r="C290" t="s">
        <v>81</v>
      </c>
      <c r="D290" t="s">
        <v>883</v>
      </c>
      <c r="E290" t="s">
        <v>36</v>
      </c>
      <c r="F290" t="s">
        <v>56</v>
      </c>
      <c r="G290" t="s">
        <v>66</v>
      </c>
      <c r="H290" t="s">
        <v>39</v>
      </c>
      <c r="I290" t="s">
        <v>88</v>
      </c>
      <c r="J290" t="s">
        <v>29</v>
      </c>
      <c r="K290" t="s">
        <v>884</v>
      </c>
      <c r="L290">
        <v>7</v>
      </c>
      <c r="M290">
        <v>12442</v>
      </c>
      <c r="N290">
        <v>87094</v>
      </c>
      <c r="O290">
        <v>5</v>
      </c>
      <c r="P290">
        <v>4354.7</v>
      </c>
      <c r="Q290">
        <v>82739.3</v>
      </c>
      <c r="R290" t="s">
        <v>53</v>
      </c>
      <c r="S290" t="s">
        <v>32</v>
      </c>
      <c r="T290">
        <v>10</v>
      </c>
      <c r="U290">
        <v>8273.93</v>
      </c>
    </row>
    <row r="291" spans="1:21" x14ac:dyDescent="0.25">
      <c r="A291" t="s">
        <v>885</v>
      </c>
      <c r="B291" s="8">
        <v>45735</v>
      </c>
      <c r="C291" t="s">
        <v>81</v>
      </c>
      <c r="D291" t="s">
        <v>886</v>
      </c>
      <c r="E291" t="s">
        <v>24</v>
      </c>
      <c r="F291" t="s">
        <v>83</v>
      </c>
      <c r="G291" t="s">
        <v>66</v>
      </c>
      <c r="H291" t="s">
        <v>27</v>
      </c>
      <c r="I291" t="s">
        <v>101</v>
      </c>
      <c r="J291" t="s">
        <v>67</v>
      </c>
      <c r="K291" t="s">
        <v>887</v>
      </c>
      <c r="L291">
        <v>10</v>
      </c>
      <c r="M291">
        <v>32820</v>
      </c>
      <c r="N291">
        <v>328200</v>
      </c>
      <c r="O291">
        <v>5</v>
      </c>
      <c r="P291">
        <v>16410</v>
      </c>
      <c r="Q291">
        <v>311790</v>
      </c>
      <c r="R291" t="s">
        <v>31</v>
      </c>
      <c r="S291" t="s">
        <v>32</v>
      </c>
      <c r="T291">
        <v>8</v>
      </c>
      <c r="U291">
        <v>24943.200000000001</v>
      </c>
    </row>
    <row r="292" spans="1:21" x14ac:dyDescent="0.25">
      <c r="A292" t="s">
        <v>888</v>
      </c>
      <c r="B292" s="8">
        <v>45927</v>
      </c>
      <c r="C292" t="s">
        <v>46</v>
      </c>
      <c r="D292" t="s">
        <v>889</v>
      </c>
      <c r="E292" t="s">
        <v>36</v>
      </c>
      <c r="F292" t="s">
        <v>37</v>
      </c>
      <c r="G292" t="s">
        <v>38</v>
      </c>
      <c r="H292" t="s">
        <v>27</v>
      </c>
      <c r="I292" t="s">
        <v>101</v>
      </c>
      <c r="J292" t="s">
        <v>78</v>
      </c>
      <c r="K292" t="s">
        <v>890</v>
      </c>
      <c r="L292">
        <v>1</v>
      </c>
      <c r="M292">
        <v>37611</v>
      </c>
      <c r="N292">
        <v>37611</v>
      </c>
      <c r="O292">
        <v>5</v>
      </c>
      <c r="P292">
        <v>1880.55</v>
      </c>
      <c r="Q292">
        <v>35730.449999999997</v>
      </c>
      <c r="R292" t="s">
        <v>31</v>
      </c>
      <c r="S292" t="s">
        <v>44</v>
      </c>
      <c r="T292">
        <v>11</v>
      </c>
      <c r="U292">
        <v>3930.3494999999989</v>
      </c>
    </row>
    <row r="293" spans="1:21" x14ac:dyDescent="0.25">
      <c r="A293" t="s">
        <v>891</v>
      </c>
      <c r="B293" s="8">
        <v>45959</v>
      </c>
      <c r="C293" t="s">
        <v>22</v>
      </c>
      <c r="D293" t="s">
        <v>892</v>
      </c>
      <c r="E293" t="s">
        <v>73</v>
      </c>
      <c r="F293" t="s">
        <v>37</v>
      </c>
      <c r="G293" t="s">
        <v>66</v>
      </c>
      <c r="H293" t="s">
        <v>27</v>
      </c>
      <c r="I293" t="s">
        <v>50</v>
      </c>
      <c r="J293" t="s">
        <v>67</v>
      </c>
      <c r="K293" t="s">
        <v>893</v>
      </c>
      <c r="L293">
        <v>7</v>
      </c>
      <c r="M293">
        <v>10944</v>
      </c>
      <c r="N293">
        <v>76608</v>
      </c>
      <c r="O293">
        <v>0</v>
      </c>
      <c r="P293">
        <v>0</v>
      </c>
      <c r="Q293">
        <v>76608</v>
      </c>
      <c r="R293" t="s">
        <v>90</v>
      </c>
      <c r="S293" t="s">
        <v>32</v>
      </c>
      <c r="T293">
        <v>11</v>
      </c>
      <c r="U293">
        <v>8426.8799999999992</v>
      </c>
    </row>
    <row r="294" spans="1:21" x14ac:dyDescent="0.25">
      <c r="A294" t="s">
        <v>894</v>
      </c>
      <c r="B294" s="8">
        <v>46009</v>
      </c>
      <c r="C294" t="s">
        <v>86</v>
      </c>
      <c r="D294" t="s">
        <v>895</v>
      </c>
      <c r="E294" t="s">
        <v>24</v>
      </c>
      <c r="F294" t="s">
        <v>49</v>
      </c>
      <c r="G294" t="s">
        <v>26</v>
      </c>
      <c r="H294" t="s">
        <v>27</v>
      </c>
      <c r="I294" t="s">
        <v>101</v>
      </c>
      <c r="J294" t="s">
        <v>29</v>
      </c>
      <c r="K294" t="s">
        <v>896</v>
      </c>
      <c r="L294">
        <v>6</v>
      </c>
      <c r="M294">
        <v>44618</v>
      </c>
      <c r="N294">
        <v>267708</v>
      </c>
      <c r="O294">
        <v>20</v>
      </c>
      <c r="P294">
        <v>53541.599999999999</v>
      </c>
      <c r="Q294">
        <v>214166.39999999999</v>
      </c>
      <c r="R294" t="s">
        <v>90</v>
      </c>
      <c r="S294" t="s">
        <v>69</v>
      </c>
      <c r="T294">
        <v>26</v>
      </c>
      <c r="U294">
        <v>55683.264000000003</v>
      </c>
    </row>
    <row r="295" spans="1:21" x14ac:dyDescent="0.25">
      <c r="A295" t="s">
        <v>897</v>
      </c>
      <c r="B295" s="8">
        <v>46021</v>
      </c>
      <c r="C295" t="s">
        <v>147</v>
      </c>
      <c r="D295" t="s">
        <v>898</v>
      </c>
      <c r="E295" t="s">
        <v>24</v>
      </c>
      <c r="F295" t="s">
        <v>65</v>
      </c>
      <c r="G295" t="s">
        <v>26</v>
      </c>
      <c r="H295" t="s">
        <v>39</v>
      </c>
      <c r="I295" t="s">
        <v>75</v>
      </c>
      <c r="J295" t="s">
        <v>67</v>
      </c>
      <c r="K295" t="s">
        <v>899</v>
      </c>
      <c r="L295">
        <v>7</v>
      </c>
      <c r="M295">
        <v>22252</v>
      </c>
      <c r="N295">
        <v>155764</v>
      </c>
      <c r="O295">
        <v>0</v>
      </c>
      <c r="P295">
        <v>0</v>
      </c>
      <c r="Q295">
        <v>155764</v>
      </c>
      <c r="R295" t="s">
        <v>43</v>
      </c>
      <c r="S295" t="s">
        <v>69</v>
      </c>
      <c r="T295">
        <v>10</v>
      </c>
      <c r="U295">
        <v>15576.4</v>
      </c>
    </row>
    <row r="296" spans="1:21" x14ac:dyDescent="0.25">
      <c r="A296" t="s">
        <v>900</v>
      </c>
      <c r="B296" s="8">
        <v>46021</v>
      </c>
      <c r="C296" t="s">
        <v>22</v>
      </c>
      <c r="D296" t="s">
        <v>901</v>
      </c>
      <c r="E296" t="s">
        <v>48</v>
      </c>
      <c r="F296" t="s">
        <v>25</v>
      </c>
      <c r="G296" t="s">
        <v>26</v>
      </c>
      <c r="H296" t="s">
        <v>39</v>
      </c>
      <c r="I296" t="s">
        <v>40</v>
      </c>
      <c r="J296" t="s">
        <v>117</v>
      </c>
      <c r="K296" t="s">
        <v>902</v>
      </c>
      <c r="L296">
        <v>5</v>
      </c>
      <c r="M296">
        <v>2676</v>
      </c>
      <c r="N296">
        <v>13380</v>
      </c>
      <c r="O296">
        <v>5</v>
      </c>
      <c r="P296">
        <v>669</v>
      </c>
      <c r="Q296">
        <v>12711</v>
      </c>
      <c r="R296" t="s">
        <v>90</v>
      </c>
      <c r="S296" t="s">
        <v>32</v>
      </c>
      <c r="T296">
        <v>19</v>
      </c>
      <c r="U296">
        <v>2415.09</v>
      </c>
    </row>
    <row r="297" spans="1:21" x14ac:dyDescent="0.25">
      <c r="A297" t="s">
        <v>903</v>
      </c>
      <c r="B297" s="8">
        <v>45714</v>
      </c>
      <c r="C297" t="s">
        <v>46</v>
      </c>
      <c r="D297" t="s">
        <v>904</v>
      </c>
      <c r="E297" t="s">
        <v>36</v>
      </c>
      <c r="F297" t="s">
        <v>65</v>
      </c>
      <c r="G297" t="s">
        <v>26</v>
      </c>
      <c r="H297" t="s">
        <v>39</v>
      </c>
      <c r="I297" t="s">
        <v>101</v>
      </c>
      <c r="J297" t="s">
        <v>117</v>
      </c>
      <c r="K297" t="s">
        <v>905</v>
      </c>
      <c r="L297">
        <v>9</v>
      </c>
      <c r="M297">
        <v>31571</v>
      </c>
      <c r="N297">
        <v>284139</v>
      </c>
      <c r="O297">
        <v>10</v>
      </c>
      <c r="P297">
        <v>28413.9</v>
      </c>
      <c r="Q297">
        <v>255725.1</v>
      </c>
      <c r="R297" t="s">
        <v>53</v>
      </c>
      <c r="S297" t="s">
        <v>32</v>
      </c>
      <c r="T297">
        <v>19</v>
      </c>
      <c r="U297">
        <v>48587.769</v>
      </c>
    </row>
    <row r="298" spans="1:21" x14ac:dyDescent="0.25">
      <c r="A298" t="s">
        <v>906</v>
      </c>
      <c r="B298" s="8">
        <v>45819</v>
      </c>
      <c r="C298" t="s">
        <v>81</v>
      </c>
      <c r="D298" t="s">
        <v>907</v>
      </c>
      <c r="E298" t="s">
        <v>48</v>
      </c>
      <c r="F298" t="s">
        <v>25</v>
      </c>
      <c r="G298" t="s">
        <v>26</v>
      </c>
      <c r="H298" t="s">
        <v>39</v>
      </c>
      <c r="I298" t="s">
        <v>101</v>
      </c>
      <c r="J298" t="s">
        <v>67</v>
      </c>
      <c r="K298" t="s">
        <v>908</v>
      </c>
      <c r="L298">
        <v>2</v>
      </c>
      <c r="M298">
        <v>16426</v>
      </c>
      <c r="N298">
        <v>32852</v>
      </c>
      <c r="O298">
        <v>10</v>
      </c>
      <c r="P298">
        <v>3285.2</v>
      </c>
      <c r="Q298">
        <v>29566.799999999999</v>
      </c>
      <c r="R298" t="s">
        <v>31</v>
      </c>
      <c r="S298" t="s">
        <v>32</v>
      </c>
      <c r="T298">
        <v>20</v>
      </c>
      <c r="U298">
        <v>5913.36</v>
      </c>
    </row>
    <row r="299" spans="1:21" x14ac:dyDescent="0.25">
      <c r="A299" t="s">
        <v>909</v>
      </c>
      <c r="B299" s="8">
        <v>45753</v>
      </c>
      <c r="C299" t="s">
        <v>120</v>
      </c>
      <c r="D299" t="s">
        <v>910</v>
      </c>
      <c r="E299" t="s">
        <v>36</v>
      </c>
      <c r="F299" t="s">
        <v>65</v>
      </c>
      <c r="G299" t="s">
        <v>38</v>
      </c>
      <c r="H299" t="s">
        <v>57</v>
      </c>
      <c r="I299" t="s">
        <v>50</v>
      </c>
      <c r="J299" t="s">
        <v>51</v>
      </c>
      <c r="K299" t="s">
        <v>911</v>
      </c>
      <c r="L299">
        <v>4</v>
      </c>
      <c r="M299">
        <v>19102</v>
      </c>
      <c r="N299">
        <v>76408</v>
      </c>
      <c r="O299">
        <v>10</v>
      </c>
      <c r="P299">
        <v>7640.8</v>
      </c>
      <c r="Q299">
        <v>68767.199999999997</v>
      </c>
      <c r="R299" t="s">
        <v>53</v>
      </c>
      <c r="S299" t="s">
        <v>32</v>
      </c>
      <c r="T299">
        <v>25</v>
      </c>
      <c r="U299">
        <v>17191.8</v>
      </c>
    </row>
    <row r="300" spans="1:21" x14ac:dyDescent="0.25">
      <c r="A300" t="s">
        <v>912</v>
      </c>
      <c r="B300" s="8">
        <v>45761</v>
      </c>
      <c r="C300" t="s">
        <v>92</v>
      </c>
      <c r="D300" t="s">
        <v>913</v>
      </c>
      <c r="E300" t="s">
        <v>24</v>
      </c>
      <c r="F300" t="s">
        <v>56</v>
      </c>
      <c r="G300" t="s">
        <v>26</v>
      </c>
      <c r="H300" t="s">
        <v>27</v>
      </c>
      <c r="I300" t="s">
        <v>50</v>
      </c>
      <c r="J300" t="s">
        <v>78</v>
      </c>
      <c r="K300" t="s">
        <v>914</v>
      </c>
      <c r="L300">
        <v>2</v>
      </c>
      <c r="M300">
        <v>45791</v>
      </c>
      <c r="N300">
        <v>91582</v>
      </c>
      <c r="O300">
        <v>10</v>
      </c>
      <c r="P300">
        <v>9158.2000000000007</v>
      </c>
      <c r="Q300">
        <v>82423.8</v>
      </c>
      <c r="R300" t="s">
        <v>31</v>
      </c>
      <c r="S300" t="s">
        <v>32</v>
      </c>
      <c r="T300">
        <v>12</v>
      </c>
      <c r="U300">
        <v>9890.8560000000016</v>
      </c>
    </row>
    <row r="301" spans="1:21" x14ac:dyDescent="0.25">
      <c r="A301" t="s">
        <v>915</v>
      </c>
      <c r="B301" s="8">
        <v>45761</v>
      </c>
      <c r="C301" t="s">
        <v>22</v>
      </c>
      <c r="D301" t="s">
        <v>916</v>
      </c>
      <c r="E301" t="s">
        <v>73</v>
      </c>
      <c r="F301" t="s">
        <v>74</v>
      </c>
      <c r="G301" t="s">
        <v>66</v>
      </c>
      <c r="H301" t="s">
        <v>27</v>
      </c>
      <c r="I301" t="s">
        <v>28</v>
      </c>
      <c r="J301" t="s">
        <v>29</v>
      </c>
      <c r="K301" t="s">
        <v>917</v>
      </c>
      <c r="L301">
        <v>10</v>
      </c>
      <c r="M301">
        <v>17272</v>
      </c>
      <c r="N301">
        <v>172720</v>
      </c>
      <c r="O301">
        <v>5</v>
      </c>
      <c r="P301">
        <v>8636</v>
      </c>
      <c r="Q301">
        <v>164084</v>
      </c>
      <c r="R301" t="s">
        <v>90</v>
      </c>
      <c r="S301" t="s">
        <v>32</v>
      </c>
      <c r="T301">
        <v>29</v>
      </c>
      <c r="U301">
        <v>47584.36</v>
      </c>
    </row>
    <row r="302" spans="1:21" x14ac:dyDescent="0.25">
      <c r="A302" t="s">
        <v>918</v>
      </c>
      <c r="B302" s="8">
        <v>45679</v>
      </c>
      <c r="C302" t="s">
        <v>86</v>
      </c>
      <c r="D302" t="s">
        <v>270</v>
      </c>
      <c r="E302" t="s">
        <v>73</v>
      </c>
      <c r="F302" t="s">
        <v>49</v>
      </c>
      <c r="G302" t="s">
        <v>38</v>
      </c>
      <c r="H302" t="s">
        <v>27</v>
      </c>
      <c r="I302" t="s">
        <v>88</v>
      </c>
      <c r="J302" t="s">
        <v>29</v>
      </c>
      <c r="K302" t="s">
        <v>919</v>
      </c>
      <c r="L302">
        <v>10</v>
      </c>
      <c r="M302">
        <v>48894</v>
      </c>
      <c r="N302">
        <v>488940</v>
      </c>
      <c r="O302">
        <v>20</v>
      </c>
      <c r="P302">
        <v>97788</v>
      </c>
      <c r="Q302">
        <v>391152</v>
      </c>
      <c r="R302" t="s">
        <v>90</v>
      </c>
      <c r="S302" t="s">
        <v>44</v>
      </c>
      <c r="T302">
        <v>6</v>
      </c>
      <c r="U302">
        <v>23469.119999999999</v>
      </c>
    </row>
    <row r="303" spans="1:21" x14ac:dyDescent="0.25">
      <c r="A303" t="s">
        <v>920</v>
      </c>
      <c r="B303" s="8">
        <v>45930</v>
      </c>
      <c r="C303" t="s">
        <v>120</v>
      </c>
      <c r="D303" t="s">
        <v>523</v>
      </c>
      <c r="E303" t="s">
        <v>73</v>
      </c>
      <c r="F303" t="s">
        <v>49</v>
      </c>
      <c r="G303" t="s">
        <v>66</v>
      </c>
      <c r="H303" t="s">
        <v>57</v>
      </c>
      <c r="I303" t="s">
        <v>75</v>
      </c>
      <c r="J303" t="s">
        <v>78</v>
      </c>
      <c r="K303" t="s">
        <v>921</v>
      </c>
      <c r="L303">
        <v>4</v>
      </c>
      <c r="M303">
        <v>21061</v>
      </c>
      <c r="N303">
        <v>84244</v>
      </c>
      <c r="O303">
        <v>20</v>
      </c>
      <c r="P303">
        <v>16848.8</v>
      </c>
      <c r="Q303">
        <v>67395.199999999997</v>
      </c>
      <c r="R303" t="s">
        <v>90</v>
      </c>
      <c r="S303" t="s">
        <v>69</v>
      </c>
      <c r="T303">
        <v>9</v>
      </c>
      <c r="U303">
        <v>6065.5679999999993</v>
      </c>
    </row>
    <row r="304" spans="1:21" x14ac:dyDescent="0.25">
      <c r="A304" t="s">
        <v>922</v>
      </c>
      <c r="B304" s="8">
        <v>45703</v>
      </c>
      <c r="C304" t="s">
        <v>34</v>
      </c>
      <c r="D304" t="s">
        <v>923</v>
      </c>
      <c r="E304" t="s">
        <v>36</v>
      </c>
      <c r="F304" t="s">
        <v>49</v>
      </c>
      <c r="G304" t="s">
        <v>66</v>
      </c>
      <c r="H304" t="s">
        <v>27</v>
      </c>
      <c r="I304" t="s">
        <v>40</v>
      </c>
      <c r="J304" t="s">
        <v>51</v>
      </c>
      <c r="K304" t="s">
        <v>924</v>
      </c>
      <c r="L304">
        <v>1</v>
      </c>
      <c r="M304">
        <v>20285</v>
      </c>
      <c r="N304">
        <v>20285</v>
      </c>
      <c r="O304">
        <v>0</v>
      </c>
      <c r="P304">
        <v>0</v>
      </c>
      <c r="Q304">
        <v>20285</v>
      </c>
      <c r="R304" t="s">
        <v>53</v>
      </c>
      <c r="S304" t="s">
        <v>32</v>
      </c>
      <c r="T304">
        <v>24</v>
      </c>
      <c r="U304">
        <v>4868.3999999999996</v>
      </c>
    </row>
    <row r="305" spans="1:21" x14ac:dyDescent="0.25">
      <c r="A305" t="s">
        <v>925</v>
      </c>
      <c r="B305" s="8">
        <v>45958</v>
      </c>
      <c r="C305" t="s">
        <v>81</v>
      </c>
      <c r="D305" t="s">
        <v>926</v>
      </c>
      <c r="E305" t="s">
        <v>36</v>
      </c>
      <c r="F305" t="s">
        <v>83</v>
      </c>
      <c r="G305" t="s">
        <v>38</v>
      </c>
      <c r="H305" t="s">
        <v>39</v>
      </c>
      <c r="I305" t="s">
        <v>88</v>
      </c>
      <c r="J305" t="s">
        <v>51</v>
      </c>
      <c r="K305" t="s">
        <v>927</v>
      </c>
      <c r="L305">
        <v>10</v>
      </c>
      <c r="M305">
        <v>44362</v>
      </c>
      <c r="N305">
        <v>443620</v>
      </c>
      <c r="O305">
        <v>0</v>
      </c>
      <c r="P305">
        <v>0</v>
      </c>
      <c r="Q305">
        <v>443620</v>
      </c>
      <c r="R305" t="s">
        <v>90</v>
      </c>
      <c r="S305" t="s">
        <v>44</v>
      </c>
      <c r="T305">
        <v>12</v>
      </c>
      <c r="U305">
        <v>53234.400000000001</v>
      </c>
    </row>
    <row r="306" spans="1:21" x14ac:dyDescent="0.25">
      <c r="A306" t="s">
        <v>928</v>
      </c>
      <c r="B306" s="8">
        <v>45929</v>
      </c>
      <c r="C306" t="s">
        <v>71</v>
      </c>
      <c r="D306" t="s">
        <v>763</v>
      </c>
      <c r="E306" t="s">
        <v>48</v>
      </c>
      <c r="F306" t="s">
        <v>74</v>
      </c>
      <c r="G306" t="s">
        <v>66</v>
      </c>
      <c r="H306" t="s">
        <v>57</v>
      </c>
      <c r="I306" t="s">
        <v>75</v>
      </c>
      <c r="J306" t="s">
        <v>117</v>
      </c>
      <c r="K306" t="s">
        <v>929</v>
      </c>
      <c r="L306">
        <v>9</v>
      </c>
      <c r="M306">
        <v>36574</v>
      </c>
      <c r="N306">
        <v>329166</v>
      </c>
      <c r="O306">
        <v>5</v>
      </c>
      <c r="P306">
        <v>16458.3</v>
      </c>
      <c r="Q306">
        <v>312707.7</v>
      </c>
      <c r="R306" t="s">
        <v>43</v>
      </c>
      <c r="S306" t="s">
        <v>32</v>
      </c>
      <c r="T306">
        <v>19</v>
      </c>
      <c r="U306">
        <v>59414.463000000003</v>
      </c>
    </row>
    <row r="307" spans="1:21" x14ac:dyDescent="0.25">
      <c r="A307" t="s">
        <v>930</v>
      </c>
      <c r="B307" s="8">
        <v>45729</v>
      </c>
      <c r="C307" t="s">
        <v>22</v>
      </c>
      <c r="D307" t="s">
        <v>931</v>
      </c>
      <c r="E307" t="s">
        <v>48</v>
      </c>
      <c r="F307" t="s">
        <v>25</v>
      </c>
      <c r="G307" t="s">
        <v>66</v>
      </c>
      <c r="H307" t="s">
        <v>57</v>
      </c>
      <c r="I307" t="s">
        <v>101</v>
      </c>
      <c r="J307" t="s">
        <v>78</v>
      </c>
      <c r="K307" t="s">
        <v>932</v>
      </c>
      <c r="L307">
        <v>10</v>
      </c>
      <c r="M307">
        <v>35163</v>
      </c>
      <c r="N307">
        <v>351630</v>
      </c>
      <c r="O307">
        <v>5</v>
      </c>
      <c r="P307">
        <v>17581.5</v>
      </c>
      <c r="Q307">
        <v>334048.5</v>
      </c>
      <c r="R307" t="s">
        <v>43</v>
      </c>
      <c r="S307" t="s">
        <v>69</v>
      </c>
      <c r="T307">
        <v>28</v>
      </c>
      <c r="U307">
        <v>93533.58</v>
      </c>
    </row>
    <row r="308" spans="1:21" x14ac:dyDescent="0.25">
      <c r="A308" t="s">
        <v>933</v>
      </c>
      <c r="B308" s="8">
        <v>45665</v>
      </c>
      <c r="C308" t="s">
        <v>92</v>
      </c>
      <c r="D308" t="s">
        <v>934</v>
      </c>
      <c r="E308" t="s">
        <v>24</v>
      </c>
      <c r="F308" t="s">
        <v>25</v>
      </c>
      <c r="G308" t="s">
        <v>38</v>
      </c>
      <c r="H308" t="s">
        <v>57</v>
      </c>
      <c r="I308" t="s">
        <v>50</v>
      </c>
      <c r="J308" t="s">
        <v>41</v>
      </c>
      <c r="K308" t="s">
        <v>935</v>
      </c>
      <c r="L308">
        <v>10</v>
      </c>
      <c r="M308">
        <v>5801</v>
      </c>
      <c r="N308">
        <v>58010</v>
      </c>
      <c r="O308">
        <v>5</v>
      </c>
      <c r="P308">
        <v>2900.5</v>
      </c>
      <c r="Q308">
        <v>55109.5</v>
      </c>
      <c r="R308" t="s">
        <v>43</v>
      </c>
      <c r="S308" t="s">
        <v>44</v>
      </c>
      <c r="T308">
        <v>9</v>
      </c>
      <c r="U308">
        <v>4959.8549999999996</v>
      </c>
    </row>
    <row r="309" spans="1:21" x14ac:dyDescent="0.25">
      <c r="A309" t="s">
        <v>936</v>
      </c>
      <c r="B309" s="8">
        <v>45690</v>
      </c>
      <c r="C309" t="s">
        <v>34</v>
      </c>
      <c r="D309" t="s">
        <v>746</v>
      </c>
      <c r="E309" t="s">
        <v>73</v>
      </c>
      <c r="F309" t="s">
        <v>37</v>
      </c>
      <c r="G309" t="s">
        <v>38</v>
      </c>
      <c r="H309" t="s">
        <v>39</v>
      </c>
      <c r="I309" t="s">
        <v>101</v>
      </c>
      <c r="J309" t="s">
        <v>29</v>
      </c>
      <c r="K309" t="s">
        <v>937</v>
      </c>
      <c r="L309">
        <v>3</v>
      </c>
      <c r="M309">
        <v>37307</v>
      </c>
      <c r="N309">
        <v>111921</v>
      </c>
      <c r="O309">
        <v>5</v>
      </c>
      <c r="P309">
        <v>5596.05</v>
      </c>
      <c r="Q309">
        <v>106324.95</v>
      </c>
      <c r="R309" t="s">
        <v>31</v>
      </c>
      <c r="S309" t="s">
        <v>32</v>
      </c>
      <c r="T309">
        <v>19</v>
      </c>
      <c r="U309">
        <v>20201.7405</v>
      </c>
    </row>
    <row r="310" spans="1:21" x14ac:dyDescent="0.25">
      <c r="A310" t="s">
        <v>938</v>
      </c>
      <c r="B310" s="8">
        <v>45743</v>
      </c>
      <c r="C310" t="s">
        <v>92</v>
      </c>
      <c r="D310" t="s">
        <v>939</v>
      </c>
      <c r="E310" t="s">
        <v>24</v>
      </c>
      <c r="F310" t="s">
        <v>49</v>
      </c>
      <c r="G310" t="s">
        <v>66</v>
      </c>
      <c r="H310" t="s">
        <v>39</v>
      </c>
      <c r="I310" t="s">
        <v>75</v>
      </c>
      <c r="J310" t="s">
        <v>78</v>
      </c>
      <c r="K310" t="s">
        <v>940</v>
      </c>
      <c r="L310">
        <v>10</v>
      </c>
      <c r="M310">
        <v>17865</v>
      </c>
      <c r="N310">
        <v>178650</v>
      </c>
      <c r="O310">
        <v>20</v>
      </c>
      <c r="P310">
        <v>35730</v>
      </c>
      <c r="Q310">
        <v>142920</v>
      </c>
      <c r="R310" t="s">
        <v>53</v>
      </c>
      <c r="S310" t="s">
        <v>69</v>
      </c>
      <c r="T310">
        <v>12</v>
      </c>
      <c r="U310">
        <v>17150.400000000001</v>
      </c>
    </row>
    <row r="311" spans="1:21" x14ac:dyDescent="0.25">
      <c r="A311" t="s">
        <v>941</v>
      </c>
      <c r="B311" s="8">
        <v>45853</v>
      </c>
      <c r="C311" t="s">
        <v>92</v>
      </c>
      <c r="D311" t="s">
        <v>942</v>
      </c>
      <c r="E311" t="s">
        <v>36</v>
      </c>
      <c r="F311" t="s">
        <v>94</v>
      </c>
      <c r="G311" t="s">
        <v>38</v>
      </c>
      <c r="H311" t="s">
        <v>39</v>
      </c>
      <c r="I311" t="s">
        <v>40</v>
      </c>
      <c r="J311" t="s">
        <v>117</v>
      </c>
      <c r="K311" t="s">
        <v>943</v>
      </c>
      <c r="L311">
        <v>6</v>
      </c>
      <c r="M311">
        <v>14922</v>
      </c>
      <c r="N311">
        <v>89532</v>
      </c>
      <c r="O311">
        <v>0</v>
      </c>
      <c r="P311">
        <v>0</v>
      </c>
      <c r="Q311">
        <v>89532</v>
      </c>
      <c r="R311" t="s">
        <v>43</v>
      </c>
      <c r="S311" t="s">
        <v>44</v>
      </c>
      <c r="T311">
        <v>23</v>
      </c>
      <c r="U311">
        <v>20592.36</v>
      </c>
    </row>
    <row r="312" spans="1:21" x14ac:dyDescent="0.25">
      <c r="A312" t="s">
        <v>944</v>
      </c>
      <c r="B312" s="8">
        <v>45859</v>
      </c>
      <c r="C312" t="s">
        <v>147</v>
      </c>
      <c r="D312" t="s">
        <v>945</v>
      </c>
      <c r="E312" t="s">
        <v>36</v>
      </c>
      <c r="F312" t="s">
        <v>94</v>
      </c>
      <c r="G312" t="s">
        <v>26</v>
      </c>
      <c r="H312" t="s">
        <v>39</v>
      </c>
      <c r="I312" t="s">
        <v>75</v>
      </c>
      <c r="J312" t="s">
        <v>41</v>
      </c>
      <c r="K312" t="s">
        <v>946</v>
      </c>
      <c r="L312">
        <v>4</v>
      </c>
      <c r="M312">
        <v>21645</v>
      </c>
      <c r="N312">
        <v>86580</v>
      </c>
      <c r="O312">
        <v>10</v>
      </c>
      <c r="P312">
        <v>8658</v>
      </c>
      <c r="Q312">
        <v>77922</v>
      </c>
      <c r="R312" t="s">
        <v>90</v>
      </c>
      <c r="S312" t="s">
        <v>32</v>
      </c>
      <c r="T312">
        <v>26</v>
      </c>
      <c r="U312">
        <v>20259.72</v>
      </c>
    </row>
    <row r="313" spans="1:21" x14ac:dyDescent="0.25">
      <c r="A313" t="s">
        <v>947</v>
      </c>
      <c r="B313" s="8">
        <v>45679</v>
      </c>
      <c r="C313" t="s">
        <v>71</v>
      </c>
      <c r="D313" t="s">
        <v>948</v>
      </c>
      <c r="E313" t="s">
        <v>48</v>
      </c>
      <c r="F313" t="s">
        <v>65</v>
      </c>
      <c r="G313" t="s">
        <v>26</v>
      </c>
      <c r="H313" t="s">
        <v>57</v>
      </c>
      <c r="I313" t="s">
        <v>101</v>
      </c>
      <c r="J313" t="s">
        <v>29</v>
      </c>
      <c r="K313" t="s">
        <v>949</v>
      </c>
      <c r="L313">
        <v>9</v>
      </c>
      <c r="M313">
        <v>47880</v>
      </c>
      <c r="N313">
        <v>430920</v>
      </c>
      <c r="O313">
        <v>15</v>
      </c>
      <c r="P313">
        <v>64638</v>
      </c>
      <c r="Q313">
        <v>366282</v>
      </c>
      <c r="R313" t="s">
        <v>43</v>
      </c>
      <c r="S313" t="s">
        <v>69</v>
      </c>
      <c r="T313">
        <v>30</v>
      </c>
      <c r="U313">
        <v>109884.6</v>
      </c>
    </row>
    <row r="314" spans="1:21" x14ac:dyDescent="0.25">
      <c r="A314" t="s">
        <v>950</v>
      </c>
      <c r="B314" s="8">
        <v>45783</v>
      </c>
      <c r="C314" t="s">
        <v>34</v>
      </c>
      <c r="D314" t="s">
        <v>951</v>
      </c>
      <c r="E314" t="s">
        <v>36</v>
      </c>
      <c r="F314" t="s">
        <v>37</v>
      </c>
      <c r="G314" t="s">
        <v>66</v>
      </c>
      <c r="H314" t="s">
        <v>57</v>
      </c>
      <c r="I314" t="s">
        <v>101</v>
      </c>
      <c r="J314" t="s">
        <v>29</v>
      </c>
      <c r="K314" t="s">
        <v>952</v>
      </c>
      <c r="L314">
        <v>10</v>
      </c>
      <c r="M314">
        <v>45203</v>
      </c>
      <c r="N314">
        <v>452030</v>
      </c>
      <c r="O314">
        <v>5</v>
      </c>
      <c r="P314">
        <v>22601.5</v>
      </c>
      <c r="Q314">
        <v>429428.5</v>
      </c>
      <c r="R314" t="s">
        <v>90</v>
      </c>
      <c r="S314" t="s">
        <v>69</v>
      </c>
      <c r="T314">
        <v>17</v>
      </c>
      <c r="U314">
        <v>73002.845000000001</v>
      </c>
    </row>
    <row r="315" spans="1:21" x14ac:dyDescent="0.25">
      <c r="A315" t="s">
        <v>953</v>
      </c>
      <c r="B315" s="8">
        <v>45681</v>
      </c>
      <c r="C315" t="s">
        <v>86</v>
      </c>
      <c r="D315" t="s">
        <v>954</v>
      </c>
      <c r="E315" t="s">
        <v>24</v>
      </c>
      <c r="F315" t="s">
        <v>83</v>
      </c>
      <c r="G315" t="s">
        <v>38</v>
      </c>
      <c r="H315" t="s">
        <v>57</v>
      </c>
      <c r="I315" t="s">
        <v>101</v>
      </c>
      <c r="J315" t="s">
        <v>41</v>
      </c>
      <c r="K315" t="s">
        <v>955</v>
      </c>
      <c r="L315">
        <v>1</v>
      </c>
      <c r="M315">
        <v>20024</v>
      </c>
      <c r="N315">
        <v>20024</v>
      </c>
      <c r="O315">
        <v>20</v>
      </c>
      <c r="P315">
        <v>4004.8</v>
      </c>
      <c r="Q315">
        <v>16019.2</v>
      </c>
      <c r="R315" t="s">
        <v>43</v>
      </c>
      <c r="S315" t="s">
        <v>69</v>
      </c>
      <c r="T315">
        <v>5</v>
      </c>
      <c r="U315">
        <v>800.96</v>
      </c>
    </row>
    <row r="316" spans="1:21" x14ac:dyDescent="0.25">
      <c r="A316" t="s">
        <v>956</v>
      </c>
      <c r="B316" s="8">
        <v>45925</v>
      </c>
      <c r="C316" t="s">
        <v>71</v>
      </c>
      <c r="D316" t="s">
        <v>957</v>
      </c>
      <c r="E316" t="s">
        <v>24</v>
      </c>
      <c r="F316" t="s">
        <v>49</v>
      </c>
      <c r="G316" t="s">
        <v>38</v>
      </c>
      <c r="H316" t="s">
        <v>39</v>
      </c>
      <c r="I316" t="s">
        <v>88</v>
      </c>
      <c r="J316" t="s">
        <v>67</v>
      </c>
      <c r="K316" t="s">
        <v>958</v>
      </c>
      <c r="L316">
        <v>4</v>
      </c>
      <c r="M316">
        <v>44429</v>
      </c>
      <c r="N316">
        <v>177716</v>
      </c>
      <c r="O316">
        <v>15</v>
      </c>
      <c r="P316">
        <v>26657.4</v>
      </c>
      <c r="Q316">
        <v>151058.6</v>
      </c>
      <c r="R316" t="s">
        <v>90</v>
      </c>
      <c r="S316" t="s">
        <v>69</v>
      </c>
      <c r="T316">
        <v>18</v>
      </c>
      <c r="U316">
        <v>27190.547999999999</v>
      </c>
    </row>
    <row r="317" spans="1:21" x14ac:dyDescent="0.25">
      <c r="A317" t="s">
        <v>959</v>
      </c>
      <c r="B317" s="8">
        <v>45991</v>
      </c>
      <c r="C317" t="s">
        <v>46</v>
      </c>
      <c r="D317" t="s">
        <v>403</v>
      </c>
      <c r="E317" t="s">
        <v>73</v>
      </c>
      <c r="F317" t="s">
        <v>83</v>
      </c>
      <c r="G317" t="s">
        <v>66</v>
      </c>
      <c r="H317" t="s">
        <v>27</v>
      </c>
      <c r="I317" t="s">
        <v>50</v>
      </c>
      <c r="J317" t="s">
        <v>67</v>
      </c>
      <c r="K317" t="s">
        <v>960</v>
      </c>
      <c r="L317">
        <v>1</v>
      </c>
      <c r="M317">
        <v>2158</v>
      </c>
      <c r="N317">
        <v>2158</v>
      </c>
      <c r="O317">
        <v>0</v>
      </c>
      <c r="P317">
        <v>0</v>
      </c>
      <c r="Q317">
        <v>2158</v>
      </c>
      <c r="R317" t="s">
        <v>43</v>
      </c>
      <c r="S317" t="s">
        <v>44</v>
      </c>
      <c r="T317">
        <v>30</v>
      </c>
      <c r="U317">
        <v>647.4</v>
      </c>
    </row>
    <row r="318" spans="1:21" x14ac:dyDescent="0.25">
      <c r="A318" t="s">
        <v>961</v>
      </c>
      <c r="B318" s="8">
        <v>45979</v>
      </c>
      <c r="C318" t="s">
        <v>34</v>
      </c>
      <c r="D318" t="s">
        <v>962</v>
      </c>
      <c r="E318" t="s">
        <v>24</v>
      </c>
      <c r="F318" t="s">
        <v>94</v>
      </c>
      <c r="G318" t="s">
        <v>26</v>
      </c>
      <c r="H318" t="s">
        <v>57</v>
      </c>
      <c r="I318" t="s">
        <v>75</v>
      </c>
      <c r="J318" t="s">
        <v>29</v>
      </c>
      <c r="K318" t="s">
        <v>963</v>
      </c>
      <c r="L318">
        <v>1</v>
      </c>
      <c r="M318">
        <v>12671</v>
      </c>
      <c r="N318">
        <v>12671</v>
      </c>
      <c r="O318">
        <v>20</v>
      </c>
      <c r="P318">
        <v>2534.1999999999998</v>
      </c>
      <c r="Q318">
        <v>10136.799999999999</v>
      </c>
      <c r="R318" t="s">
        <v>31</v>
      </c>
      <c r="S318" t="s">
        <v>69</v>
      </c>
      <c r="T318">
        <v>12</v>
      </c>
      <c r="U318">
        <v>1216.4159999999999</v>
      </c>
    </row>
    <row r="319" spans="1:21" x14ac:dyDescent="0.25">
      <c r="A319" t="s">
        <v>964</v>
      </c>
      <c r="B319" s="8">
        <v>45740</v>
      </c>
      <c r="C319" t="s">
        <v>147</v>
      </c>
      <c r="D319" t="s">
        <v>965</v>
      </c>
      <c r="E319" t="s">
        <v>36</v>
      </c>
      <c r="F319" t="s">
        <v>37</v>
      </c>
      <c r="G319" t="s">
        <v>26</v>
      </c>
      <c r="H319" t="s">
        <v>39</v>
      </c>
      <c r="I319" t="s">
        <v>75</v>
      </c>
      <c r="J319" t="s">
        <v>67</v>
      </c>
      <c r="K319" t="s">
        <v>966</v>
      </c>
      <c r="L319">
        <v>6</v>
      </c>
      <c r="M319">
        <v>42502</v>
      </c>
      <c r="N319">
        <v>255012</v>
      </c>
      <c r="O319">
        <v>10</v>
      </c>
      <c r="P319">
        <v>25501.200000000001</v>
      </c>
      <c r="Q319">
        <v>229510.8</v>
      </c>
      <c r="R319" t="s">
        <v>53</v>
      </c>
      <c r="S319" t="s">
        <v>32</v>
      </c>
      <c r="T319">
        <v>17</v>
      </c>
      <c r="U319">
        <v>39016.836000000003</v>
      </c>
    </row>
    <row r="320" spans="1:21" x14ac:dyDescent="0.25">
      <c r="A320" t="s">
        <v>967</v>
      </c>
      <c r="B320" s="8">
        <v>45703</v>
      </c>
      <c r="C320" t="s">
        <v>46</v>
      </c>
      <c r="D320" t="s">
        <v>348</v>
      </c>
      <c r="E320" t="s">
        <v>24</v>
      </c>
      <c r="F320" t="s">
        <v>94</v>
      </c>
      <c r="G320" t="s">
        <v>26</v>
      </c>
      <c r="H320" t="s">
        <v>39</v>
      </c>
      <c r="I320" t="s">
        <v>40</v>
      </c>
      <c r="J320" t="s">
        <v>51</v>
      </c>
      <c r="K320" t="s">
        <v>968</v>
      </c>
      <c r="L320">
        <v>8</v>
      </c>
      <c r="M320">
        <v>40372</v>
      </c>
      <c r="N320">
        <v>322976</v>
      </c>
      <c r="O320">
        <v>10</v>
      </c>
      <c r="P320">
        <v>32297.599999999999</v>
      </c>
      <c r="Q320">
        <v>290678.40000000002</v>
      </c>
      <c r="R320" t="s">
        <v>31</v>
      </c>
      <c r="S320" t="s">
        <v>32</v>
      </c>
      <c r="T320">
        <v>13</v>
      </c>
      <c r="U320">
        <v>37788.192000000003</v>
      </c>
    </row>
    <row r="321" spans="1:21" x14ac:dyDescent="0.25">
      <c r="A321" t="s">
        <v>969</v>
      </c>
      <c r="B321" s="8">
        <v>45862</v>
      </c>
      <c r="C321" t="s">
        <v>81</v>
      </c>
      <c r="D321" t="s">
        <v>970</v>
      </c>
      <c r="E321" t="s">
        <v>36</v>
      </c>
      <c r="F321" t="s">
        <v>83</v>
      </c>
      <c r="G321" t="s">
        <v>66</v>
      </c>
      <c r="H321" t="s">
        <v>57</v>
      </c>
      <c r="I321" t="s">
        <v>28</v>
      </c>
      <c r="J321" t="s">
        <v>41</v>
      </c>
      <c r="K321" t="s">
        <v>971</v>
      </c>
      <c r="L321">
        <v>4</v>
      </c>
      <c r="M321">
        <v>35156</v>
      </c>
      <c r="N321">
        <v>140624</v>
      </c>
      <c r="O321">
        <v>15</v>
      </c>
      <c r="P321">
        <v>21093.599999999999</v>
      </c>
      <c r="Q321">
        <v>119530.4</v>
      </c>
      <c r="R321" t="s">
        <v>53</v>
      </c>
      <c r="S321" t="s">
        <v>69</v>
      </c>
      <c r="T321">
        <v>19</v>
      </c>
      <c r="U321">
        <v>22710.776000000002</v>
      </c>
    </row>
    <row r="322" spans="1:21" x14ac:dyDescent="0.25">
      <c r="A322" t="s">
        <v>972</v>
      </c>
      <c r="B322" s="8">
        <v>45928</v>
      </c>
      <c r="C322" t="s">
        <v>63</v>
      </c>
      <c r="D322" t="s">
        <v>351</v>
      </c>
      <c r="E322" t="s">
        <v>36</v>
      </c>
      <c r="F322" t="s">
        <v>74</v>
      </c>
      <c r="G322" t="s">
        <v>66</v>
      </c>
      <c r="H322" t="s">
        <v>27</v>
      </c>
      <c r="I322" t="s">
        <v>40</v>
      </c>
      <c r="J322" t="s">
        <v>29</v>
      </c>
      <c r="K322" t="s">
        <v>973</v>
      </c>
      <c r="L322">
        <v>3</v>
      </c>
      <c r="M322">
        <v>41213</v>
      </c>
      <c r="N322">
        <v>123639</v>
      </c>
      <c r="O322">
        <v>15</v>
      </c>
      <c r="P322">
        <v>18545.849999999999</v>
      </c>
      <c r="Q322">
        <v>105093.15</v>
      </c>
      <c r="R322" t="s">
        <v>53</v>
      </c>
      <c r="S322" t="s">
        <v>44</v>
      </c>
      <c r="T322">
        <v>7</v>
      </c>
      <c r="U322">
        <v>7356.5204999999996</v>
      </c>
    </row>
    <row r="323" spans="1:21" x14ac:dyDescent="0.25">
      <c r="A323" t="s">
        <v>974</v>
      </c>
      <c r="B323" s="8">
        <v>45821</v>
      </c>
      <c r="C323" t="s">
        <v>86</v>
      </c>
      <c r="D323" t="s">
        <v>327</v>
      </c>
      <c r="E323" t="s">
        <v>36</v>
      </c>
      <c r="F323" t="s">
        <v>94</v>
      </c>
      <c r="G323" t="s">
        <v>38</v>
      </c>
      <c r="H323" t="s">
        <v>39</v>
      </c>
      <c r="I323" t="s">
        <v>75</v>
      </c>
      <c r="J323" t="s">
        <v>67</v>
      </c>
      <c r="K323" t="s">
        <v>975</v>
      </c>
      <c r="L323">
        <v>7</v>
      </c>
      <c r="M323">
        <v>44791</v>
      </c>
      <c r="N323">
        <v>313537</v>
      </c>
      <c r="O323">
        <v>5</v>
      </c>
      <c r="P323">
        <v>15676.85</v>
      </c>
      <c r="Q323">
        <v>297860.15000000002</v>
      </c>
      <c r="R323" t="s">
        <v>90</v>
      </c>
      <c r="S323" t="s">
        <v>69</v>
      </c>
      <c r="T323">
        <v>22</v>
      </c>
      <c r="U323">
        <v>65529.233000000007</v>
      </c>
    </row>
    <row r="324" spans="1:21" x14ac:dyDescent="0.25">
      <c r="A324" t="s">
        <v>976</v>
      </c>
      <c r="B324" s="8">
        <v>45795</v>
      </c>
      <c r="C324" t="s">
        <v>92</v>
      </c>
      <c r="D324" t="s">
        <v>977</v>
      </c>
      <c r="E324" t="s">
        <v>24</v>
      </c>
      <c r="F324" t="s">
        <v>56</v>
      </c>
      <c r="G324" t="s">
        <v>26</v>
      </c>
      <c r="H324" t="s">
        <v>57</v>
      </c>
      <c r="I324" t="s">
        <v>75</v>
      </c>
      <c r="J324" t="s">
        <v>78</v>
      </c>
      <c r="K324" t="s">
        <v>978</v>
      </c>
      <c r="L324">
        <v>10</v>
      </c>
      <c r="M324">
        <v>32456</v>
      </c>
      <c r="N324">
        <v>324560</v>
      </c>
      <c r="O324">
        <v>20</v>
      </c>
      <c r="P324">
        <v>64912</v>
      </c>
      <c r="Q324">
        <v>259648</v>
      </c>
      <c r="R324" t="s">
        <v>43</v>
      </c>
      <c r="S324" t="s">
        <v>32</v>
      </c>
      <c r="T324">
        <v>20</v>
      </c>
      <c r="U324">
        <v>51929.599999999999</v>
      </c>
    </row>
    <row r="325" spans="1:21" x14ac:dyDescent="0.25">
      <c r="A325" t="s">
        <v>979</v>
      </c>
      <c r="B325" s="8">
        <v>45740</v>
      </c>
      <c r="C325" t="s">
        <v>86</v>
      </c>
      <c r="D325" t="s">
        <v>423</v>
      </c>
      <c r="E325" t="s">
        <v>24</v>
      </c>
      <c r="F325" t="s">
        <v>49</v>
      </c>
      <c r="G325" t="s">
        <v>26</v>
      </c>
      <c r="H325" t="s">
        <v>39</v>
      </c>
      <c r="I325" t="s">
        <v>75</v>
      </c>
      <c r="J325" t="s">
        <v>67</v>
      </c>
      <c r="K325" t="s">
        <v>980</v>
      </c>
      <c r="L325">
        <v>3</v>
      </c>
      <c r="M325">
        <v>43799</v>
      </c>
      <c r="N325">
        <v>131397</v>
      </c>
      <c r="O325">
        <v>15</v>
      </c>
      <c r="P325">
        <v>19709.55</v>
      </c>
      <c r="Q325">
        <v>111687.45</v>
      </c>
      <c r="R325" t="s">
        <v>31</v>
      </c>
      <c r="S325" t="s">
        <v>32</v>
      </c>
      <c r="T325">
        <v>28</v>
      </c>
      <c r="U325">
        <v>31272.486000000001</v>
      </c>
    </row>
    <row r="326" spans="1:21" x14ac:dyDescent="0.25">
      <c r="A326" t="s">
        <v>981</v>
      </c>
      <c r="B326" s="8">
        <v>45754</v>
      </c>
      <c r="C326" t="s">
        <v>22</v>
      </c>
      <c r="D326" t="s">
        <v>982</v>
      </c>
      <c r="E326" t="s">
        <v>48</v>
      </c>
      <c r="F326" t="s">
        <v>25</v>
      </c>
      <c r="G326" t="s">
        <v>26</v>
      </c>
      <c r="H326" t="s">
        <v>39</v>
      </c>
      <c r="I326" t="s">
        <v>50</v>
      </c>
      <c r="J326" t="s">
        <v>29</v>
      </c>
      <c r="K326" t="s">
        <v>983</v>
      </c>
      <c r="L326">
        <v>1</v>
      </c>
      <c r="M326">
        <v>33796</v>
      </c>
      <c r="N326">
        <v>33796</v>
      </c>
      <c r="O326">
        <v>20</v>
      </c>
      <c r="P326">
        <v>6759.2</v>
      </c>
      <c r="Q326">
        <v>27036.799999999999</v>
      </c>
      <c r="R326" t="s">
        <v>90</v>
      </c>
      <c r="S326" t="s">
        <v>44</v>
      </c>
      <c r="T326">
        <v>29</v>
      </c>
      <c r="U326">
        <v>7840.6719999999996</v>
      </c>
    </row>
    <row r="327" spans="1:21" x14ac:dyDescent="0.25">
      <c r="A327" t="s">
        <v>984</v>
      </c>
      <c r="B327" s="8">
        <v>45848</v>
      </c>
      <c r="C327" t="s">
        <v>86</v>
      </c>
      <c r="D327" t="s">
        <v>985</v>
      </c>
      <c r="E327" t="s">
        <v>36</v>
      </c>
      <c r="F327" t="s">
        <v>25</v>
      </c>
      <c r="G327" t="s">
        <v>38</v>
      </c>
      <c r="H327" t="s">
        <v>27</v>
      </c>
      <c r="I327" t="s">
        <v>75</v>
      </c>
      <c r="J327" t="s">
        <v>117</v>
      </c>
      <c r="K327" t="s">
        <v>986</v>
      </c>
      <c r="L327">
        <v>2</v>
      </c>
      <c r="M327">
        <v>16929</v>
      </c>
      <c r="N327">
        <v>33858</v>
      </c>
      <c r="O327">
        <v>10</v>
      </c>
      <c r="P327">
        <v>3385.8</v>
      </c>
      <c r="Q327">
        <v>30472.2</v>
      </c>
      <c r="R327" t="s">
        <v>53</v>
      </c>
      <c r="S327" t="s">
        <v>69</v>
      </c>
      <c r="T327">
        <v>22</v>
      </c>
      <c r="U327">
        <v>6703.884</v>
      </c>
    </row>
    <row r="328" spans="1:21" x14ac:dyDescent="0.25">
      <c r="A328" t="s">
        <v>987</v>
      </c>
      <c r="B328" s="8">
        <v>45779</v>
      </c>
      <c r="C328" t="s">
        <v>81</v>
      </c>
      <c r="D328" t="s">
        <v>988</v>
      </c>
      <c r="E328" t="s">
        <v>73</v>
      </c>
      <c r="F328" t="s">
        <v>25</v>
      </c>
      <c r="G328" t="s">
        <v>38</v>
      </c>
      <c r="H328" t="s">
        <v>57</v>
      </c>
      <c r="I328" t="s">
        <v>75</v>
      </c>
      <c r="J328" t="s">
        <v>67</v>
      </c>
      <c r="K328" t="s">
        <v>989</v>
      </c>
      <c r="L328">
        <v>9</v>
      </c>
      <c r="M328">
        <v>47057</v>
      </c>
      <c r="N328">
        <v>423513</v>
      </c>
      <c r="O328">
        <v>15</v>
      </c>
      <c r="P328">
        <v>63526.95</v>
      </c>
      <c r="Q328">
        <v>359986.05</v>
      </c>
      <c r="R328" t="s">
        <v>31</v>
      </c>
      <c r="S328" t="s">
        <v>32</v>
      </c>
      <c r="T328">
        <v>14</v>
      </c>
      <c r="U328">
        <v>50398.046999999999</v>
      </c>
    </row>
    <row r="329" spans="1:21" x14ac:dyDescent="0.25">
      <c r="A329" t="s">
        <v>990</v>
      </c>
      <c r="B329" s="8">
        <v>45990</v>
      </c>
      <c r="C329" t="s">
        <v>46</v>
      </c>
      <c r="D329" t="s">
        <v>991</v>
      </c>
      <c r="E329" t="s">
        <v>36</v>
      </c>
      <c r="F329" t="s">
        <v>49</v>
      </c>
      <c r="G329" t="s">
        <v>38</v>
      </c>
      <c r="H329" t="s">
        <v>39</v>
      </c>
      <c r="I329" t="s">
        <v>88</v>
      </c>
      <c r="J329" t="s">
        <v>78</v>
      </c>
      <c r="K329" t="s">
        <v>992</v>
      </c>
      <c r="L329">
        <v>10</v>
      </c>
      <c r="M329">
        <v>7781</v>
      </c>
      <c r="N329">
        <v>77810</v>
      </c>
      <c r="O329">
        <v>15</v>
      </c>
      <c r="P329">
        <v>11671.5</v>
      </c>
      <c r="Q329">
        <v>66138.5</v>
      </c>
      <c r="R329" t="s">
        <v>31</v>
      </c>
      <c r="S329" t="s">
        <v>44</v>
      </c>
      <c r="T329">
        <v>7</v>
      </c>
      <c r="U329">
        <v>4629.6949999999997</v>
      </c>
    </row>
    <row r="330" spans="1:21" x14ac:dyDescent="0.25">
      <c r="A330" t="s">
        <v>993</v>
      </c>
      <c r="B330" s="8">
        <v>45772</v>
      </c>
      <c r="C330" t="s">
        <v>71</v>
      </c>
      <c r="D330" t="s">
        <v>994</v>
      </c>
      <c r="E330" t="s">
        <v>24</v>
      </c>
      <c r="F330" t="s">
        <v>49</v>
      </c>
      <c r="G330" t="s">
        <v>38</v>
      </c>
      <c r="H330" t="s">
        <v>57</v>
      </c>
      <c r="I330" t="s">
        <v>40</v>
      </c>
      <c r="J330" t="s">
        <v>67</v>
      </c>
      <c r="K330" t="s">
        <v>995</v>
      </c>
      <c r="L330">
        <v>9</v>
      </c>
      <c r="M330">
        <v>29662</v>
      </c>
      <c r="N330">
        <v>266958</v>
      </c>
      <c r="O330">
        <v>5</v>
      </c>
      <c r="P330">
        <v>13347.9</v>
      </c>
      <c r="Q330">
        <v>253610.1</v>
      </c>
      <c r="R330" t="s">
        <v>53</v>
      </c>
      <c r="S330" t="s">
        <v>69</v>
      </c>
      <c r="T330">
        <v>27</v>
      </c>
      <c r="U330">
        <v>68474.726999999999</v>
      </c>
    </row>
    <row r="331" spans="1:21" x14ac:dyDescent="0.25">
      <c r="A331" t="s">
        <v>996</v>
      </c>
      <c r="B331" s="8">
        <v>45969</v>
      </c>
      <c r="C331" t="s">
        <v>92</v>
      </c>
      <c r="D331" t="s">
        <v>467</v>
      </c>
      <c r="E331" t="s">
        <v>73</v>
      </c>
      <c r="F331" t="s">
        <v>56</v>
      </c>
      <c r="G331" t="s">
        <v>66</v>
      </c>
      <c r="H331" t="s">
        <v>27</v>
      </c>
      <c r="I331" t="s">
        <v>40</v>
      </c>
      <c r="J331" t="s">
        <v>67</v>
      </c>
      <c r="K331" t="s">
        <v>997</v>
      </c>
      <c r="L331">
        <v>8</v>
      </c>
      <c r="M331">
        <v>19263</v>
      </c>
      <c r="N331">
        <v>154104</v>
      </c>
      <c r="O331">
        <v>10</v>
      </c>
      <c r="P331">
        <v>15410.4</v>
      </c>
      <c r="Q331">
        <v>138693.6</v>
      </c>
      <c r="R331" t="s">
        <v>53</v>
      </c>
      <c r="S331" t="s">
        <v>44</v>
      </c>
      <c r="T331">
        <v>6</v>
      </c>
      <c r="U331">
        <v>8321.6160000000018</v>
      </c>
    </row>
    <row r="332" spans="1:21" x14ac:dyDescent="0.25">
      <c r="A332" t="s">
        <v>998</v>
      </c>
      <c r="B332" s="8">
        <v>45956</v>
      </c>
      <c r="C332" t="s">
        <v>34</v>
      </c>
      <c r="D332" t="s">
        <v>999</v>
      </c>
      <c r="E332" t="s">
        <v>48</v>
      </c>
      <c r="F332" t="s">
        <v>56</v>
      </c>
      <c r="G332" t="s">
        <v>66</v>
      </c>
      <c r="H332" t="s">
        <v>57</v>
      </c>
      <c r="I332" t="s">
        <v>28</v>
      </c>
      <c r="J332" t="s">
        <v>117</v>
      </c>
      <c r="K332" t="s">
        <v>1000</v>
      </c>
      <c r="L332">
        <v>2</v>
      </c>
      <c r="M332">
        <v>15791</v>
      </c>
      <c r="N332">
        <v>31582</v>
      </c>
      <c r="O332">
        <v>10</v>
      </c>
      <c r="P332">
        <v>3158.2</v>
      </c>
      <c r="Q332">
        <v>28423.8</v>
      </c>
      <c r="R332" t="s">
        <v>43</v>
      </c>
      <c r="S332" t="s">
        <v>32</v>
      </c>
      <c r="T332">
        <v>27</v>
      </c>
      <c r="U332">
        <v>7674.4259999999986</v>
      </c>
    </row>
    <row r="333" spans="1:21" x14ac:dyDescent="0.25">
      <c r="A333" t="s">
        <v>1001</v>
      </c>
      <c r="B333" s="8">
        <v>45692</v>
      </c>
      <c r="C333" t="s">
        <v>120</v>
      </c>
      <c r="D333" t="s">
        <v>415</v>
      </c>
      <c r="E333" t="s">
        <v>24</v>
      </c>
      <c r="F333" t="s">
        <v>56</v>
      </c>
      <c r="G333" t="s">
        <v>38</v>
      </c>
      <c r="H333" t="s">
        <v>27</v>
      </c>
      <c r="I333" t="s">
        <v>75</v>
      </c>
      <c r="J333" t="s">
        <v>117</v>
      </c>
      <c r="K333" t="s">
        <v>1002</v>
      </c>
      <c r="L333">
        <v>8</v>
      </c>
      <c r="M333">
        <v>7601</v>
      </c>
      <c r="N333">
        <v>60808</v>
      </c>
      <c r="O333">
        <v>20</v>
      </c>
      <c r="P333">
        <v>12161.6</v>
      </c>
      <c r="Q333">
        <v>48646.400000000001</v>
      </c>
      <c r="R333" t="s">
        <v>43</v>
      </c>
      <c r="S333" t="s">
        <v>32</v>
      </c>
      <c r="T333">
        <v>12</v>
      </c>
      <c r="U333">
        <v>5837.5680000000002</v>
      </c>
    </row>
    <row r="334" spans="1:21" x14ac:dyDescent="0.25">
      <c r="A334" t="s">
        <v>1003</v>
      </c>
      <c r="B334" s="8">
        <v>45736</v>
      </c>
      <c r="C334" t="s">
        <v>46</v>
      </c>
      <c r="D334" t="s">
        <v>1004</v>
      </c>
      <c r="E334" t="s">
        <v>73</v>
      </c>
      <c r="F334" t="s">
        <v>37</v>
      </c>
      <c r="G334" t="s">
        <v>38</v>
      </c>
      <c r="H334" t="s">
        <v>39</v>
      </c>
      <c r="I334" t="s">
        <v>101</v>
      </c>
      <c r="J334" t="s">
        <v>117</v>
      </c>
      <c r="K334" t="s">
        <v>1005</v>
      </c>
      <c r="L334">
        <v>7</v>
      </c>
      <c r="M334">
        <v>36276</v>
      </c>
      <c r="N334">
        <v>253932</v>
      </c>
      <c r="O334">
        <v>5</v>
      </c>
      <c r="P334">
        <v>12696.6</v>
      </c>
      <c r="Q334">
        <v>241235.4</v>
      </c>
      <c r="R334" t="s">
        <v>53</v>
      </c>
      <c r="S334" t="s">
        <v>32</v>
      </c>
      <c r="T334">
        <v>25</v>
      </c>
      <c r="U334">
        <v>60308.85</v>
      </c>
    </row>
    <row r="335" spans="1:21" x14ac:dyDescent="0.25">
      <c r="A335" t="s">
        <v>1006</v>
      </c>
      <c r="B335" s="8">
        <v>45874</v>
      </c>
      <c r="C335" t="s">
        <v>46</v>
      </c>
      <c r="D335" t="s">
        <v>1007</v>
      </c>
      <c r="E335" t="s">
        <v>48</v>
      </c>
      <c r="F335" t="s">
        <v>49</v>
      </c>
      <c r="G335" t="s">
        <v>66</v>
      </c>
      <c r="H335" t="s">
        <v>39</v>
      </c>
      <c r="I335" t="s">
        <v>40</v>
      </c>
      <c r="J335" t="s">
        <v>78</v>
      </c>
      <c r="K335" t="s">
        <v>1008</v>
      </c>
      <c r="L335">
        <v>2</v>
      </c>
      <c r="M335">
        <v>38415</v>
      </c>
      <c r="N335">
        <v>76830</v>
      </c>
      <c r="O335">
        <v>20</v>
      </c>
      <c r="P335">
        <v>15366</v>
      </c>
      <c r="Q335">
        <v>61464</v>
      </c>
      <c r="R335" t="s">
        <v>53</v>
      </c>
      <c r="S335" t="s">
        <v>32</v>
      </c>
      <c r="T335">
        <v>17</v>
      </c>
      <c r="U335">
        <v>10448.879999999999</v>
      </c>
    </row>
    <row r="336" spans="1:21" x14ac:dyDescent="0.25">
      <c r="A336" t="s">
        <v>1009</v>
      </c>
      <c r="B336" s="8">
        <v>45981</v>
      </c>
      <c r="C336" t="s">
        <v>34</v>
      </c>
      <c r="D336" t="s">
        <v>788</v>
      </c>
      <c r="E336" t="s">
        <v>73</v>
      </c>
      <c r="F336" t="s">
        <v>74</v>
      </c>
      <c r="G336" t="s">
        <v>38</v>
      </c>
      <c r="H336" t="s">
        <v>57</v>
      </c>
      <c r="I336" t="s">
        <v>88</v>
      </c>
      <c r="J336" t="s">
        <v>117</v>
      </c>
      <c r="K336" t="s">
        <v>1010</v>
      </c>
      <c r="L336">
        <v>3</v>
      </c>
      <c r="M336">
        <v>36730</v>
      </c>
      <c r="N336">
        <v>110190</v>
      </c>
      <c r="O336">
        <v>20</v>
      </c>
      <c r="P336">
        <v>22038</v>
      </c>
      <c r="Q336">
        <v>88152</v>
      </c>
      <c r="R336" t="s">
        <v>43</v>
      </c>
      <c r="S336" t="s">
        <v>32</v>
      </c>
      <c r="T336">
        <v>18</v>
      </c>
      <c r="U336">
        <v>15867.36</v>
      </c>
    </row>
    <row r="337" spans="1:21" x14ac:dyDescent="0.25">
      <c r="A337" t="s">
        <v>1011</v>
      </c>
      <c r="B337" s="8">
        <v>45996</v>
      </c>
      <c r="C337" t="s">
        <v>81</v>
      </c>
      <c r="D337" t="s">
        <v>994</v>
      </c>
      <c r="E337" t="s">
        <v>48</v>
      </c>
      <c r="F337" t="s">
        <v>49</v>
      </c>
      <c r="G337" t="s">
        <v>66</v>
      </c>
      <c r="H337" t="s">
        <v>27</v>
      </c>
      <c r="I337" t="s">
        <v>101</v>
      </c>
      <c r="J337" t="s">
        <v>41</v>
      </c>
      <c r="K337" t="s">
        <v>1012</v>
      </c>
      <c r="L337">
        <v>10</v>
      </c>
      <c r="M337">
        <v>33340</v>
      </c>
      <c r="N337">
        <v>333400</v>
      </c>
      <c r="O337">
        <v>15</v>
      </c>
      <c r="P337">
        <v>50010</v>
      </c>
      <c r="Q337">
        <v>283390</v>
      </c>
      <c r="R337" t="s">
        <v>31</v>
      </c>
      <c r="S337" t="s">
        <v>44</v>
      </c>
      <c r="T337">
        <v>10</v>
      </c>
      <c r="U337">
        <v>28339</v>
      </c>
    </row>
    <row r="338" spans="1:21" x14ac:dyDescent="0.25">
      <c r="A338" t="s">
        <v>1013</v>
      </c>
      <c r="B338" s="8">
        <v>45773</v>
      </c>
      <c r="C338" t="s">
        <v>92</v>
      </c>
      <c r="D338" t="s">
        <v>1014</v>
      </c>
      <c r="E338" t="s">
        <v>36</v>
      </c>
      <c r="F338" t="s">
        <v>83</v>
      </c>
      <c r="G338" t="s">
        <v>26</v>
      </c>
      <c r="H338" t="s">
        <v>27</v>
      </c>
      <c r="I338" t="s">
        <v>50</v>
      </c>
      <c r="J338" t="s">
        <v>29</v>
      </c>
      <c r="K338" t="s">
        <v>1015</v>
      </c>
      <c r="L338">
        <v>8</v>
      </c>
      <c r="M338">
        <v>29328</v>
      </c>
      <c r="N338">
        <v>234624</v>
      </c>
      <c r="O338">
        <v>0</v>
      </c>
      <c r="P338">
        <v>0</v>
      </c>
      <c r="Q338">
        <v>234624</v>
      </c>
      <c r="R338" t="s">
        <v>31</v>
      </c>
      <c r="S338" t="s">
        <v>32</v>
      </c>
      <c r="T338">
        <v>7</v>
      </c>
      <c r="U338">
        <v>16423.68</v>
      </c>
    </row>
    <row r="339" spans="1:21" x14ac:dyDescent="0.25">
      <c r="A339" t="s">
        <v>1016</v>
      </c>
      <c r="B339" s="8">
        <v>45960</v>
      </c>
      <c r="C339" t="s">
        <v>71</v>
      </c>
      <c r="D339" t="s">
        <v>847</v>
      </c>
      <c r="E339" t="s">
        <v>36</v>
      </c>
      <c r="F339" t="s">
        <v>65</v>
      </c>
      <c r="G339" t="s">
        <v>66</v>
      </c>
      <c r="H339" t="s">
        <v>27</v>
      </c>
      <c r="I339" t="s">
        <v>28</v>
      </c>
      <c r="J339" t="s">
        <v>78</v>
      </c>
      <c r="K339" t="s">
        <v>1017</v>
      </c>
      <c r="L339">
        <v>3</v>
      </c>
      <c r="M339">
        <v>20079</v>
      </c>
      <c r="N339">
        <v>60237</v>
      </c>
      <c r="O339">
        <v>0</v>
      </c>
      <c r="P339">
        <v>0</v>
      </c>
      <c r="Q339">
        <v>60237</v>
      </c>
      <c r="R339" t="s">
        <v>90</v>
      </c>
      <c r="S339" t="s">
        <v>44</v>
      </c>
      <c r="T339">
        <v>19</v>
      </c>
      <c r="U339">
        <v>11445.03</v>
      </c>
    </row>
    <row r="340" spans="1:21" x14ac:dyDescent="0.25">
      <c r="A340" t="s">
        <v>1018</v>
      </c>
      <c r="B340" s="8">
        <v>45921</v>
      </c>
      <c r="C340" t="s">
        <v>86</v>
      </c>
      <c r="D340" t="s">
        <v>1019</v>
      </c>
      <c r="E340" t="s">
        <v>73</v>
      </c>
      <c r="F340" t="s">
        <v>56</v>
      </c>
      <c r="G340" t="s">
        <v>26</v>
      </c>
      <c r="H340" t="s">
        <v>27</v>
      </c>
      <c r="I340" t="s">
        <v>101</v>
      </c>
      <c r="J340" t="s">
        <v>78</v>
      </c>
      <c r="K340" t="s">
        <v>1020</v>
      </c>
      <c r="L340">
        <v>3</v>
      </c>
      <c r="M340">
        <v>43895</v>
      </c>
      <c r="N340">
        <v>131685</v>
      </c>
      <c r="O340">
        <v>5</v>
      </c>
      <c r="P340">
        <v>6584.25</v>
      </c>
      <c r="Q340">
        <v>125100.75</v>
      </c>
      <c r="R340" t="s">
        <v>31</v>
      </c>
      <c r="S340" t="s">
        <v>69</v>
      </c>
      <c r="T340">
        <v>24</v>
      </c>
      <c r="U340">
        <v>30024.18</v>
      </c>
    </row>
    <row r="341" spans="1:21" x14ac:dyDescent="0.25">
      <c r="A341" t="s">
        <v>1021</v>
      </c>
      <c r="B341" s="8">
        <v>45741</v>
      </c>
      <c r="C341" t="s">
        <v>120</v>
      </c>
      <c r="D341" t="s">
        <v>545</v>
      </c>
      <c r="E341" t="s">
        <v>48</v>
      </c>
      <c r="F341" t="s">
        <v>94</v>
      </c>
      <c r="G341" t="s">
        <v>66</v>
      </c>
      <c r="H341" t="s">
        <v>39</v>
      </c>
      <c r="I341" t="s">
        <v>40</v>
      </c>
      <c r="J341" t="s">
        <v>51</v>
      </c>
      <c r="K341" t="s">
        <v>1022</v>
      </c>
      <c r="L341">
        <v>1</v>
      </c>
      <c r="M341">
        <v>9467</v>
      </c>
      <c r="N341">
        <v>9467</v>
      </c>
      <c r="O341">
        <v>0</v>
      </c>
      <c r="P341">
        <v>0</v>
      </c>
      <c r="Q341">
        <v>9467</v>
      </c>
      <c r="R341" t="s">
        <v>43</v>
      </c>
      <c r="S341" t="s">
        <v>44</v>
      </c>
      <c r="T341">
        <v>12</v>
      </c>
      <c r="U341">
        <v>1136.04</v>
      </c>
    </row>
    <row r="342" spans="1:21" x14ac:dyDescent="0.25">
      <c r="A342" t="s">
        <v>1023</v>
      </c>
      <c r="B342" s="8">
        <v>45905</v>
      </c>
      <c r="C342" t="s">
        <v>92</v>
      </c>
      <c r="D342" t="s">
        <v>1024</v>
      </c>
      <c r="E342" t="s">
        <v>36</v>
      </c>
      <c r="F342" t="s">
        <v>25</v>
      </c>
      <c r="G342" t="s">
        <v>26</v>
      </c>
      <c r="H342" t="s">
        <v>27</v>
      </c>
      <c r="I342" t="s">
        <v>101</v>
      </c>
      <c r="J342" t="s">
        <v>78</v>
      </c>
      <c r="K342" t="s">
        <v>1025</v>
      </c>
      <c r="L342">
        <v>8</v>
      </c>
      <c r="M342">
        <v>45155</v>
      </c>
      <c r="N342">
        <v>361240</v>
      </c>
      <c r="O342">
        <v>5</v>
      </c>
      <c r="P342">
        <v>18062</v>
      </c>
      <c r="Q342">
        <v>343178</v>
      </c>
      <c r="R342" t="s">
        <v>90</v>
      </c>
      <c r="S342" t="s">
        <v>69</v>
      </c>
      <c r="T342">
        <v>8</v>
      </c>
      <c r="U342">
        <v>27454.240000000002</v>
      </c>
    </row>
    <row r="343" spans="1:21" x14ac:dyDescent="0.25">
      <c r="A343" t="s">
        <v>1026</v>
      </c>
      <c r="B343" s="8">
        <v>45965</v>
      </c>
      <c r="C343" t="s">
        <v>46</v>
      </c>
      <c r="D343" t="s">
        <v>1027</v>
      </c>
      <c r="E343" t="s">
        <v>24</v>
      </c>
      <c r="F343" t="s">
        <v>83</v>
      </c>
      <c r="G343" t="s">
        <v>38</v>
      </c>
      <c r="H343" t="s">
        <v>39</v>
      </c>
      <c r="I343" t="s">
        <v>101</v>
      </c>
      <c r="J343" t="s">
        <v>78</v>
      </c>
      <c r="K343" t="s">
        <v>1028</v>
      </c>
      <c r="L343">
        <v>2</v>
      </c>
      <c r="M343">
        <v>5794</v>
      </c>
      <c r="N343">
        <v>11588</v>
      </c>
      <c r="O343">
        <v>15</v>
      </c>
      <c r="P343">
        <v>1738.2</v>
      </c>
      <c r="Q343">
        <v>9849.7999999999993</v>
      </c>
      <c r="R343" t="s">
        <v>31</v>
      </c>
      <c r="S343" t="s">
        <v>69</v>
      </c>
      <c r="T343">
        <v>26</v>
      </c>
      <c r="U343">
        <v>2560.9479999999999</v>
      </c>
    </row>
    <row r="344" spans="1:21" x14ac:dyDescent="0.25">
      <c r="A344" t="s">
        <v>1029</v>
      </c>
      <c r="B344" s="8">
        <v>45816</v>
      </c>
      <c r="C344" t="s">
        <v>92</v>
      </c>
      <c r="D344" t="s">
        <v>1030</v>
      </c>
      <c r="E344" t="s">
        <v>73</v>
      </c>
      <c r="F344" t="s">
        <v>49</v>
      </c>
      <c r="G344" t="s">
        <v>26</v>
      </c>
      <c r="H344" t="s">
        <v>57</v>
      </c>
      <c r="I344" t="s">
        <v>75</v>
      </c>
      <c r="J344" t="s">
        <v>117</v>
      </c>
      <c r="K344" t="s">
        <v>1031</v>
      </c>
      <c r="L344">
        <v>9</v>
      </c>
      <c r="M344">
        <v>38742</v>
      </c>
      <c r="N344">
        <v>348678</v>
      </c>
      <c r="O344">
        <v>10</v>
      </c>
      <c r="P344">
        <v>34867.800000000003</v>
      </c>
      <c r="Q344">
        <v>313810.2</v>
      </c>
      <c r="R344" t="s">
        <v>53</v>
      </c>
      <c r="S344" t="s">
        <v>44</v>
      </c>
      <c r="T344">
        <v>21</v>
      </c>
      <c r="U344">
        <v>65900.142000000007</v>
      </c>
    </row>
    <row r="345" spans="1:21" x14ac:dyDescent="0.25">
      <c r="A345" t="s">
        <v>1032</v>
      </c>
      <c r="B345" s="8">
        <v>45750</v>
      </c>
      <c r="C345" t="s">
        <v>63</v>
      </c>
      <c r="D345" t="s">
        <v>1033</v>
      </c>
      <c r="E345" t="s">
        <v>36</v>
      </c>
      <c r="F345" t="s">
        <v>25</v>
      </c>
      <c r="G345" t="s">
        <v>66</v>
      </c>
      <c r="H345" t="s">
        <v>57</v>
      </c>
      <c r="I345" t="s">
        <v>88</v>
      </c>
      <c r="J345" t="s">
        <v>41</v>
      </c>
      <c r="K345" t="s">
        <v>1034</v>
      </c>
      <c r="L345">
        <v>3</v>
      </c>
      <c r="M345">
        <v>4408</v>
      </c>
      <c r="N345">
        <v>13224</v>
      </c>
      <c r="O345">
        <v>15</v>
      </c>
      <c r="P345">
        <v>1983.6</v>
      </c>
      <c r="Q345">
        <v>11240.4</v>
      </c>
      <c r="R345" t="s">
        <v>53</v>
      </c>
      <c r="S345" t="s">
        <v>32</v>
      </c>
      <c r="T345">
        <v>6</v>
      </c>
      <c r="U345">
        <v>674.42399999999998</v>
      </c>
    </row>
    <row r="346" spans="1:21" x14ac:dyDescent="0.25">
      <c r="A346" t="s">
        <v>1035</v>
      </c>
      <c r="B346" s="8">
        <v>45795</v>
      </c>
      <c r="C346" t="s">
        <v>22</v>
      </c>
      <c r="D346" t="s">
        <v>199</v>
      </c>
      <c r="E346" t="s">
        <v>73</v>
      </c>
      <c r="F346" t="s">
        <v>94</v>
      </c>
      <c r="G346" t="s">
        <v>66</v>
      </c>
      <c r="H346" t="s">
        <v>57</v>
      </c>
      <c r="I346" t="s">
        <v>75</v>
      </c>
      <c r="J346" t="s">
        <v>117</v>
      </c>
      <c r="K346" t="s">
        <v>1036</v>
      </c>
      <c r="L346">
        <v>5</v>
      </c>
      <c r="M346">
        <v>25572</v>
      </c>
      <c r="N346">
        <v>127860</v>
      </c>
      <c r="O346">
        <v>5</v>
      </c>
      <c r="P346">
        <v>6393</v>
      </c>
      <c r="Q346">
        <v>121467</v>
      </c>
      <c r="R346" t="s">
        <v>90</v>
      </c>
      <c r="S346" t="s">
        <v>44</v>
      </c>
      <c r="T346">
        <v>11</v>
      </c>
      <c r="U346">
        <v>13361.37</v>
      </c>
    </row>
    <row r="347" spans="1:21" x14ac:dyDescent="0.25">
      <c r="A347" t="s">
        <v>1037</v>
      </c>
      <c r="B347" s="8">
        <v>45816</v>
      </c>
      <c r="C347" t="s">
        <v>46</v>
      </c>
      <c r="D347" t="s">
        <v>1038</v>
      </c>
      <c r="E347" t="s">
        <v>24</v>
      </c>
      <c r="F347" t="s">
        <v>49</v>
      </c>
      <c r="G347" t="s">
        <v>38</v>
      </c>
      <c r="H347" t="s">
        <v>39</v>
      </c>
      <c r="I347" t="s">
        <v>28</v>
      </c>
      <c r="J347" t="s">
        <v>29</v>
      </c>
      <c r="K347" t="s">
        <v>1039</v>
      </c>
      <c r="L347">
        <v>9</v>
      </c>
      <c r="M347">
        <v>5227</v>
      </c>
      <c r="N347">
        <v>47043</v>
      </c>
      <c r="O347">
        <v>20</v>
      </c>
      <c r="P347">
        <v>9408.6</v>
      </c>
      <c r="Q347">
        <v>37634.400000000001</v>
      </c>
      <c r="R347" t="s">
        <v>43</v>
      </c>
      <c r="S347" t="s">
        <v>69</v>
      </c>
      <c r="T347">
        <v>26</v>
      </c>
      <c r="U347">
        <v>9784.9439999999995</v>
      </c>
    </row>
    <row r="348" spans="1:21" x14ac:dyDescent="0.25">
      <c r="A348" t="s">
        <v>1040</v>
      </c>
      <c r="B348" s="8">
        <v>45799</v>
      </c>
      <c r="C348" t="s">
        <v>92</v>
      </c>
      <c r="D348" t="s">
        <v>1041</v>
      </c>
      <c r="E348" t="s">
        <v>36</v>
      </c>
      <c r="F348" t="s">
        <v>94</v>
      </c>
      <c r="G348" t="s">
        <v>26</v>
      </c>
      <c r="H348" t="s">
        <v>39</v>
      </c>
      <c r="I348" t="s">
        <v>75</v>
      </c>
      <c r="J348" t="s">
        <v>41</v>
      </c>
      <c r="K348" t="s">
        <v>1042</v>
      </c>
      <c r="L348">
        <v>6</v>
      </c>
      <c r="M348">
        <v>43052</v>
      </c>
      <c r="N348">
        <v>258312</v>
      </c>
      <c r="O348">
        <v>10</v>
      </c>
      <c r="P348">
        <v>25831.200000000001</v>
      </c>
      <c r="Q348">
        <v>232480.8</v>
      </c>
      <c r="R348" t="s">
        <v>90</v>
      </c>
      <c r="S348" t="s">
        <v>44</v>
      </c>
      <c r="T348">
        <v>8</v>
      </c>
      <c r="U348">
        <v>18598.464</v>
      </c>
    </row>
    <row r="349" spans="1:21" x14ac:dyDescent="0.25">
      <c r="A349" t="s">
        <v>1043</v>
      </c>
      <c r="B349" s="8">
        <v>45710</v>
      </c>
      <c r="C349" t="s">
        <v>63</v>
      </c>
      <c r="D349" t="s">
        <v>223</v>
      </c>
      <c r="E349" t="s">
        <v>36</v>
      </c>
      <c r="F349" t="s">
        <v>83</v>
      </c>
      <c r="G349" t="s">
        <v>26</v>
      </c>
      <c r="H349" t="s">
        <v>57</v>
      </c>
      <c r="I349" t="s">
        <v>50</v>
      </c>
      <c r="J349" t="s">
        <v>51</v>
      </c>
      <c r="K349" t="s">
        <v>1044</v>
      </c>
      <c r="L349">
        <v>4</v>
      </c>
      <c r="M349">
        <v>48282</v>
      </c>
      <c r="N349">
        <v>193128</v>
      </c>
      <c r="O349">
        <v>20</v>
      </c>
      <c r="P349">
        <v>38625.599999999999</v>
      </c>
      <c r="Q349">
        <v>154502.39999999999</v>
      </c>
      <c r="R349" t="s">
        <v>53</v>
      </c>
      <c r="S349" t="s">
        <v>32</v>
      </c>
      <c r="T349">
        <v>28</v>
      </c>
      <c r="U349">
        <v>43260.671999999999</v>
      </c>
    </row>
    <row r="350" spans="1:21" x14ac:dyDescent="0.25">
      <c r="A350" t="s">
        <v>1045</v>
      </c>
      <c r="B350" s="8">
        <v>45717</v>
      </c>
      <c r="C350" t="s">
        <v>147</v>
      </c>
      <c r="D350" t="s">
        <v>1046</v>
      </c>
      <c r="E350" t="s">
        <v>36</v>
      </c>
      <c r="F350" t="s">
        <v>49</v>
      </c>
      <c r="G350" t="s">
        <v>26</v>
      </c>
      <c r="H350" t="s">
        <v>27</v>
      </c>
      <c r="I350" t="s">
        <v>28</v>
      </c>
      <c r="J350" t="s">
        <v>29</v>
      </c>
      <c r="K350" t="s">
        <v>1047</v>
      </c>
      <c r="L350">
        <v>7</v>
      </c>
      <c r="M350">
        <v>32309</v>
      </c>
      <c r="N350">
        <v>226163</v>
      </c>
      <c r="O350">
        <v>15</v>
      </c>
      <c r="P350">
        <v>33924.449999999997</v>
      </c>
      <c r="Q350">
        <v>192238.55</v>
      </c>
      <c r="R350" t="s">
        <v>43</v>
      </c>
      <c r="S350" t="s">
        <v>69</v>
      </c>
      <c r="T350">
        <v>10</v>
      </c>
      <c r="U350">
        <v>19223.855</v>
      </c>
    </row>
    <row r="351" spans="1:21" x14ac:dyDescent="0.25">
      <c r="A351" t="s">
        <v>1048</v>
      </c>
      <c r="B351" s="8">
        <v>45771</v>
      </c>
      <c r="C351" t="s">
        <v>92</v>
      </c>
      <c r="D351" t="s">
        <v>1049</v>
      </c>
      <c r="E351" t="s">
        <v>48</v>
      </c>
      <c r="F351" t="s">
        <v>65</v>
      </c>
      <c r="G351" t="s">
        <v>66</v>
      </c>
      <c r="H351" t="s">
        <v>57</v>
      </c>
      <c r="I351" t="s">
        <v>88</v>
      </c>
      <c r="J351" t="s">
        <v>67</v>
      </c>
      <c r="K351" t="s">
        <v>1050</v>
      </c>
      <c r="L351">
        <v>8</v>
      </c>
      <c r="M351">
        <v>34226</v>
      </c>
      <c r="N351">
        <v>273808</v>
      </c>
      <c r="O351">
        <v>0</v>
      </c>
      <c r="P351">
        <v>0</v>
      </c>
      <c r="Q351">
        <v>273808</v>
      </c>
      <c r="R351" t="s">
        <v>53</v>
      </c>
      <c r="S351" t="s">
        <v>44</v>
      </c>
      <c r="T351">
        <v>12</v>
      </c>
      <c r="U351">
        <v>32856.959999999999</v>
      </c>
    </row>
    <row r="352" spans="1:21" x14ac:dyDescent="0.25">
      <c r="A352" t="s">
        <v>1051</v>
      </c>
      <c r="B352" s="8">
        <v>45814</v>
      </c>
      <c r="C352" t="s">
        <v>86</v>
      </c>
      <c r="D352" t="s">
        <v>493</v>
      </c>
      <c r="E352" t="s">
        <v>36</v>
      </c>
      <c r="F352" t="s">
        <v>83</v>
      </c>
      <c r="G352" t="s">
        <v>38</v>
      </c>
      <c r="H352" t="s">
        <v>57</v>
      </c>
      <c r="I352" t="s">
        <v>28</v>
      </c>
      <c r="J352" t="s">
        <v>67</v>
      </c>
      <c r="K352" t="s">
        <v>1052</v>
      </c>
      <c r="L352">
        <v>7</v>
      </c>
      <c r="M352">
        <v>4862</v>
      </c>
      <c r="N352">
        <v>34034</v>
      </c>
      <c r="O352">
        <v>10</v>
      </c>
      <c r="P352">
        <v>3403.4</v>
      </c>
      <c r="Q352">
        <v>30630.6</v>
      </c>
      <c r="R352" t="s">
        <v>43</v>
      </c>
      <c r="S352" t="s">
        <v>32</v>
      </c>
      <c r="T352">
        <v>16</v>
      </c>
      <c r="U352">
        <v>4900.8959999999997</v>
      </c>
    </row>
    <row r="353" spans="1:21" x14ac:dyDescent="0.25">
      <c r="A353" t="s">
        <v>1053</v>
      </c>
      <c r="B353" s="8">
        <v>45834</v>
      </c>
      <c r="C353" t="s">
        <v>81</v>
      </c>
      <c r="D353" t="s">
        <v>1054</v>
      </c>
      <c r="E353" t="s">
        <v>36</v>
      </c>
      <c r="F353" t="s">
        <v>83</v>
      </c>
      <c r="G353" t="s">
        <v>66</v>
      </c>
      <c r="H353" t="s">
        <v>57</v>
      </c>
      <c r="I353" t="s">
        <v>50</v>
      </c>
      <c r="J353" t="s">
        <v>78</v>
      </c>
      <c r="K353" t="s">
        <v>1055</v>
      </c>
      <c r="L353">
        <v>3</v>
      </c>
      <c r="M353">
        <v>44890</v>
      </c>
      <c r="N353">
        <v>134670</v>
      </c>
      <c r="O353">
        <v>10</v>
      </c>
      <c r="P353">
        <v>13467</v>
      </c>
      <c r="Q353">
        <v>121203</v>
      </c>
      <c r="R353" t="s">
        <v>90</v>
      </c>
      <c r="S353" t="s">
        <v>69</v>
      </c>
      <c r="T353">
        <v>23</v>
      </c>
      <c r="U353">
        <v>27876.69</v>
      </c>
    </row>
    <row r="354" spans="1:21" x14ac:dyDescent="0.25">
      <c r="A354" t="s">
        <v>1056</v>
      </c>
      <c r="B354" s="8">
        <v>45811</v>
      </c>
      <c r="C354" t="s">
        <v>22</v>
      </c>
      <c r="D354" t="s">
        <v>1057</v>
      </c>
      <c r="E354" t="s">
        <v>73</v>
      </c>
      <c r="F354" t="s">
        <v>74</v>
      </c>
      <c r="G354" t="s">
        <v>26</v>
      </c>
      <c r="H354" t="s">
        <v>57</v>
      </c>
      <c r="I354" t="s">
        <v>101</v>
      </c>
      <c r="J354" t="s">
        <v>67</v>
      </c>
      <c r="K354" t="s">
        <v>1058</v>
      </c>
      <c r="L354">
        <v>4</v>
      </c>
      <c r="M354">
        <v>41045</v>
      </c>
      <c r="N354">
        <v>164180</v>
      </c>
      <c r="O354">
        <v>20</v>
      </c>
      <c r="P354">
        <v>32836</v>
      </c>
      <c r="Q354">
        <v>131344</v>
      </c>
      <c r="R354" t="s">
        <v>90</v>
      </c>
      <c r="S354" t="s">
        <v>44</v>
      </c>
      <c r="T354">
        <v>26</v>
      </c>
      <c r="U354">
        <v>34149.440000000002</v>
      </c>
    </row>
    <row r="355" spans="1:21" x14ac:dyDescent="0.25">
      <c r="A355" t="s">
        <v>1059</v>
      </c>
      <c r="B355" s="8">
        <v>45762</v>
      </c>
      <c r="C355" t="s">
        <v>63</v>
      </c>
      <c r="D355" t="s">
        <v>1060</v>
      </c>
      <c r="E355" t="s">
        <v>24</v>
      </c>
      <c r="F355" t="s">
        <v>94</v>
      </c>
      <c r="G355" t="s">
        <v>66</v>
      </c>
      <c r="H355" t="s">
        <v>39</v>
      </c>
      <c r="I355" t="s">
        <v>88</v>
      </c>
      <c r="J355" t="s">
        <v>41</v>
      </c>
      <c r="K355" t="s">
        <v>1061</v>
      </c>
      <c r="L355">
        <v>8</v>
      </c>
      <c r="M355">
        <v>36963</v>
      </c>
      <c r="N355">
        <v>295704</v>
      </c>
      <c r="O355">
        <v>5</v>
      </c>
      <c r="P355">
        <v>14785.2</v>
      </c>
      <c r="Q355">
        <v>280918.8</v>
      </c>
      <c r="R355" t="s">
        <v>31</v>
      </c>
      <c r="S355" t="s">
        <v>69</v>
      </c>
      <c r="T355">
        <v>26</v>
      </c>
      <c r="U355">
        <v>73038.887999999992</v>
      </c>
    </row>
    <row r="356" spans="1:21" x14ac:dyDescent="0.25">
      <c r="A356" t="s">
        <v>1062</v>
      </c>
      <c r="B356" s="8">
        <v>45659</v>
      </c>
      <c r="C356" t="s">
        <v>86</v>
      </c>
      <c r="D356" t="s">
        <v>1063</v>
      </c>
      <c r="E356" t="s">
        <v>24</v>
      </c>
      <c r="F356" t="s">
        <v>56</v>
      </c>
      <c r="G356" t="s">
        <v>66</v>
      </c>
      <c r="H356" t="s">
        <v>57</v>
      </c>
      <c r="I356" t="s">
        <v>28</v>
      </c>
      <c r="J356" t="s">
        <v>117</v>
      </c>
      <c r="K356" t="s">
        <v>1064</v>
      </c>
      <c r="L356">
        <v>1</v>
      </c>
      <c r="M356">
        <v>19286</v>
      </c>
      <c r="N356">
        <v>19286</v>
      </c>
      <c r="O356">
        <v>15</v>
      </c>
      <c r="P356">
        <v>2892.9</v>
      </c>
      <c r="Q356">
        <v>16393.099999999999</v>
      </c>
      <c r="R356" t="s">
        <v>53</v>
      </c>
      <c r="S356" t="s">
        <v>69</v>
      </c>
      <c r="T356">
        <v>27</v>
      </c>
      <c r="U356">
        <v>4426.1369999999997</v>
      </c>
    </row>
    <row r="357" spans="1:21" x14ac:dyDescent="0.25">
      <c r="A357" t="s">
        <v>1065</v>
      </c>
      <c r="B357" s="8">
        <v>45778</v>
      </c>
      <c r="C357" t="s">
        <v>63</v>
      </c>
      <c r="D357" t="s">
        <v>1066</v>
      </c>
      <c r="E357" t="s">
        <v>36</v>
      </c>
      <c r="F357" t="s">
        <v>56</v>
      </c>
      <c r="G357" t="s">
        <v>38</v>
      </c>
      <c r="H357" t="s">
        <v>57</v>
      </c>
      <c r="I357" t="s">
        <v>40</v>
      </c>
      <c r="J357" t="s">
        <v>29</v>
      </c>
      <c r="K357" t="s">
        <v>1067</v>
      </c>
      <c r="L357">
        <v>8</v>
      </c>
      <c r="M357">
        <v>23542</v>
      </c>
      <c r="N357">
        <v>188336</v>
      </c>
      <c r="O357">
        <v>5</v>
      </c>
      <c r="P357">
        <v>9416.7999999999993</v>
      </c>
      <c r="Q357">
        <v>178919.2</v>
      </c>
      <c r="R357" t="s">
        <v>53</v>
      </c>
      <c r="S357" t="s">
        <v>32</v>
      </c>
      <c r="T357">
        <v>13</v>
      </c>
      <c r="U357">
        <v>23259.495999999999</v>
      </c>
    </row>
    <row r="358" spans="1:21" x14ac:dyDescent="0.25">
      <c r="A358" t="s">
        <v>1068</v>
      </c>
      <c r="B358" s="8">
        <v>45821</v>
      </c>
      <c r="C358" t="s">
        <v>34</v>
      </c>
      <c r="D358" t="s">
        <v>1069</v>
      </c>
      <c r="E358" t="s">
        <v>36</v>
      </c>
      <c r="F358" t="s">
        <v>74</v>
      </c>
      <c r="G358" t="s">
        <v>38</v>
      </c>
      <c r="H358" t="s">
        <v>57</v>
      </c>
      <c r="I358" t="s">
        <v>40</v>
      </c>
      <c r="J358" t="s">
        <v>51</v>
      </c>
      <c r="K358" t="s">
        <v>1070</v>
      </c>
      <c r="L358">
        <v>9</v>
      </c>
      <c r="M358">
        <v>30008</v>
      </c>
      <c r="N358">
        <v>270072</v>
      </c>
      <c r="O358">
        <v>20</v>
      </c>
      <c r="P358">
        <v>54014.400000000001</v>
      </c>
      <c r="Q358">
        <v>216057.60000000001</v>
      </c>
      <c r="R358" t="s">
        <v>31</v>
      </c>
      <c r="S358" t="s">
        <v>32</v>
      </c>
      <c r="T358">
        <v>20</v>
      </c>
      <c r="U358">
        <v>43211.519999999997</v>
      </c>
    </row>
    <row r="359" spans="1:21" x14ac:dyDescent="0.25">
      <c r="A359" t="s">
        <v>1071</v>
      </c>
      <c r="B359" s="8">
        <v>45945</v>
      </c>
      <c r="C359" t="s">
        <v>34</v>
      </c>
      <c r="D359" t="s">
        <v>1072</v>
      </c>
      <c r="E359" t="s">
        <v>73</v>
      </c>
      <c r="F359" t="s">
        <v>37</v>
      </c>
      <c r="G359" t="s">
        <v>38</v>
      </c>
      <c r="H359" t="s">
        <v>39</v>
      </c>
      <c r="I359" t="s">
        <v>28</v>
      </c>
      <c r="J359" t="s">
        <v>41</v>
      </c>
      <c r="K359" t="s">
        <v>1073</v>
      </c>
      <c r="L359">
        <v>8</v>
      </c>
      <c r="M359">
        <v>21935</v>
      </c>
      <c r="N359">
        <v>175480</v>
      </c>
      <c r="O359">
        <v>10</v>
      </c>
      <c r="P359">
        <v>17548</v>
      </c>
      <c r="Q359">
        <v>157932</v>
      </c>
      <c r="R359" t="s">
        <v>53</v>
      </c>
      <c r="S359" t="s">
        <v>69</v>
      </c>
      <c r="T359">
        <v>15</v>
      </c>
      <c r="U359">
        <v>23689.8</v>
      </c>
    </row>
    <row r="360" spans="1:21" x14ac:dyDescent="0.25">
      <c r="A360" t="s">
        <v>1074</v>
      </c>
      <c r="B360" s="8">
        <v>45974</v>
      </c>
      <c r="C360" t="s">
        <v>147</v>
      </c>
      <c r="D360" t="s">
        <v>686</v>
      </c>
      <c r="E360" t="s">
        <v>36</v>
      </c>
      <c r="F360" t="s">
        <v>83</v>
      </c>
      <c r="G360" t="s">
        <v>26</v>
      </c>
      <c r="H360" t="s">
        <v>57</v>
      </c>
      <c r="I360" t="s">
        <v>40</v>
      </c>
      <c r="J360" t="s">
        <v>117</v>
      </c>
      <c r="K360" t="s">
        <v>292</v>
      </c>
      <c r="L360">
        <v>8</v>
      </c>
      <c r="M360">
        <v>9640</v>
      </c>
      <c r="N360">
        <v>77120</v>
      </c>
      <c r="O360">
        <v>15</v>
      </c>
      <c r="P360">
        <v>11568</v>
      </c>
      <c r="Q360">
        <v>65552</v>
      </c>
      <c r="R360" t="s">
        <v>90</v>
      </c>
      <c r="S360" t="s">
        <v>69</v>
      </c>
      <c r="T360">
        <v>14</v>
      </c>
      <c r="U360">
        <v>9177.2800000000007</v>
      </c>
    </row>
    <row r="361" spans="1:21" x14ac:dyDescent="0.25">
      <c r="A361" t="s">
        <v>1075</v>
      </c>
      <c r="B361" s="8">
        <v>46018</v>
      </c>
      <c r="C361" t="s">
        <v>92</v>
      </c>
      <c r="D361" t="s">
        <v>1076</v>
      </c>
      <c r="E361" t="s">
        <v>73</v>
      </c>
      <c r="F361" t="s">
        <v>37</v>
      </c>
      <c r="G361" t="s">
        <v>66</v>
      </c>
      <c r="H361" t="s">
        <v>57</v>
      </c>
      <c r="I361" t="s">
        <v>50</v>
      </c>
      <c r="J361" t="s">
        <v>51</v>
      </c>
      <c r="K361" t="s">
        <v>1077</v>
      </c>
      <c r="L361">
        <v>2</v>
      </c>
      <c r="M361">
        <v>21191</v>
      </c>
      <c r="N361">
        <v>42382</v>
      </c>
      <c r="O361">
        <v>10</v>
      </c>
      <c r="P361">
        <v>4238.2</v>
      </c>
      <c r="Q361">
        <v>38143.800000000003</v>
      </c>
      <c r="R361" t="s">
        <v>31</v>
      </c>
      <c r="S361" t="s">
        <v>69</v>
      </c>
      <c r="T361">
        <v>12</v>
      </c>
      <c r="U361">
        <v>4577.2560000000003</v>
      </c>
    </row>
    <row r="362" spans="1:21" x14ac:dyDescent="0.25">
      <c r="A362" t="s">
        <v>1078</v>
      </c>
      <c r="B362" s="8">
        <v>45663</v>
      </c>
      <c r="C362" t="s">
        <v>46</v>
      </c>
      <c r="D362" t="s">
        <v>330</v>
      </c>
      <c r="E362" t="s">
        <v>48</v>
      </c>
      <c r="F362" t="s">
        <v>37</v>
      </c>
      <c r="G362" t="s">
        <v>66</v>
      </c>
      <c r="H362" t="s">
        <v>27</v>
      </c>
      <c r="I362" t="s">
        <v>88</v>
      </c>
      <c r="J362" t="s">
        <v>51</v>
      </c>
      <c r="K362" t="s">
        <v>1079</v>
      </c>
      <c r="L362">
        <v>10</v>
      </c>
      <c r="M362">
        <v>16606</v>
      </c>
      <c r="N362">
        <v>166060</v>
      </c>
      <c r="O362">
        <v>15</v>
      </c>
      <c r="P362">
        <v>24909</v>
      </c>
      <c r="Q362">
        <v>141151</v>
      </c>
      <c r="R362" t="s">
        <v>31</v>
      </c>
      <c r="S362" t="s">
        <v>44</v>
      </c>
      <c r="T362">
        <v>24</v>
      </c>
      <c r="U362">
        <v>33876.239999999998</v>
      </c>
    </row>
    <row r="363" spans="1:21" x14ac:dyDescent="0.25">
      <c r="A363" t="s">
        <v>1080</v>
      </c>
      <c r="B363" s="8">
        <v>45774</v>
      </c>
      <c r="C363" t="s">
        <v>22</v>
      </c>
      <c r="D363" t="s">
        <v>1081</v>
      </c>
      <c r="E363" t="s">
        <v>24</v>
      </c>
      <c r="F363" t="s">
        <v>37</v>
      </c>
      <c r="G363" t="s">
        <v>66</v>
      </c>
      <c r="H363" t="s">
        <v>39</v>
      </c>
      <c r="I363" t="s">
        <v>28</v>
      </c>
      <c r="J363" t="s">
        <v>67</v>
      </c>
      <c r="K363" t="s">
        <v>1082</v>
      </c>
      <c r="L363">
        <v>8</v>
      </c>
      <c r="M363">
        <v>19819</v>
      </c>
      <c r="N363">
        <v>158552</v>
      </c>
      <c r="O363">
        <v>5</v>
      </c>
      <c r="P363">
        <v>7927.6</v>
      </c>
      <c r="Q363">
        <v>150624.4</v>
      </c>
      <c r="R363" t="s">
        <v>53</v>
      </c>
      <c r="S363" t="s">
        <v>69</v>
      </c>
      <c r="T363">
        <v>9</v>
      </c>
      <c r="U363">
        <v>13556.196</v>
      </c>
    </row>
    <row r="364" spans="1:21" x14ac:dyDescent="0.25">
      <c r="A364" t="s">
        <v>1083</v>
      </c>
      <c r="B364" s="8">
        <v>45765</v>
      </c>
      <c r="C364" t="s">
        <v>92</v>
      </c>
      <c r="D364" t="s">
        <v>461</v>
      </c>
      <c r="E364" t="s">
        <v>73</v>
      </c>
      <c r="F364" t="s">
        <v>65</v>
      </c>
      <c r="G364" t="s">
        <v>38</v>
      </c>
      <c r="H364" t="s">
        <v>39</v>
      </c>
      <c r="I364" t="s">
        <v>50</v>
      </c>
      <c r="J364" t="s">
        <v>51</v>
      </c>
      <c r="K364" t="s">
        <v>1084</v>
      </c>
      <c r="L364">
        <v>9</v>
      </c>
      <c r="M364">
        <v>42661</v>
      </c>
      <c r="N364">
        <v>383949</v>
      </c>
      <c r="O364">
        <v>10</v>
      </c>
      <c r="P364">
        <v>38394.9</v>
      </c>
      <c r="Q364">
        <v>345554.1</v>
      </c>
      <c r="R364" t="s">
        <v>31</v>
      </c>
      <c r="S364" t="s">
        <v>44</v>
      </c>
      <c r="T364">
        <v>30</v>
      </c>
      <c r="U364">
        <v>103666.23</v>
      </c>
    </row>
    <row r="365" spans="1:21" x14ac:dyDescent="0.25">
      <c r="A365" t="s">
        <v>1085</v>
      </c>
      <c r="B365" s="8">
        <v>45658</v>
      </c>
      <c r="C365" t="s">
        <v>46</v>
      </c>
      <c r="D365" t="s">
        <v>1086</v>
      </c>
      <c r="E365" t="s">
        <v>73</v>
      </c>
      <c r="F365" t="s">
        <v>65</v>
      </c>
      <c r="G365" t="s">
        <v>66</v>
      </c>
      <c r="H365" t="s">
        <v>27</v>
      </c>
      <c r="I365" t="s">
        <v>101</v>
      </c>
      <c r="J365" t="s">
        <v>78</v>
      </c>
      <c r="K365" t="s">
        <v>1087</v>
      </c>
      <c r="L365">
        <v>3</v>
      </c>
      <c r="M365">
        <v>25481</v>
      </c>
      <c r="N365">
        <v>76443</v>
      </c>
      <c r="O365">
        <v>0</v>
      </c>
      <c r="P365">
        <v>0</v>
      </c>
      <c r="Q365">
        <v>76443</v>
      </c>
      <c r="R365" t="s">
        <v>43</v>
      </c>
      <c r="S365" t="s">
        <v>44</v>
      </c>
      <c r="T365">
        <v>13</v>
      </c>
      <c r="U365">
        <v>9937.59</v>
      </c>
    </row>
    <row r="366" spans="1:21" x14ac:dyDescent="0.25">
      <c r="A366" t="s">
        <v>1088</v>
      </c>
      <c r="B366" s="8">
        <v>45661</v>
      </c>
      <c r="C366" t="s">
        <v>147</v>
      </c>
      <c r="D366" t="s">
        <v>1089</v>
      </c>
      <c r="E366" t="s">
        <v>48</v>
      </c>
      <c r="F366" t="s">
        <v>83</v>
      </c>
      <c r="G366" t="s">
        <v>38</v>
      </c>
      <c r="H366" t="s">
        <v>39</v>
      </c>
      <c r="I366" t="s">
        <v>101</v>
      </c>
      <c r="J366" t="s">
        <v>41</v>
      </c>
      <c r="K366" t="s">
        <v>1090</v>
      </c>
      <c r="L366">
        <v>5</v>
      </c>
      <c r="M366">
        <v>5282</v>
      </c>
      <c r="N366">
        <v>26410</v>
      </c>
      <c r="O366">
        <v>5</v>
      </c>
      <c r="P366">
        <v>1320.5</v>
      </c>
      <c r="Q366">
        <v>25089.5</v>
      </c>
      <c r="R366" t="s">
        <v>43</v>
      </c>
      <c r="S366" t="s">
        <v>69</v>
      </c>
      <c r="T366">
        <v>24</v>
      </c>
      <c r="U366">
        <v>6021.48</v>
      </c>
    </row>
    <row r="367" spans="1:21" x14ac:dyDescent="0.25">
      <c r="A367" t="s">
        <v>1091</v>
      </c>
      <c r="B367" s="8">
        <v>45934</v>
      </c>
      <c r="C367" t="s">
        <v>147</v>
      </c>
      <c r="D367" t="s">
        <v>1092</v>
      </c>
      <c r="E367" t="s">
        <v>73</v>
      </c>
      <c r="F367" t="s">
        <v>74</v>
      </c>
      <c r="G367" t="s">
        <v>66</v>
      </c>
      <c r="H367" t="s">
        <v>27</v>
      </c>
      <c r="I367" t="s">
        <v>40</v>
      </c>
      <c r="J367" t="s">
        <v>41</v>
      </c>
      <c r="K367" t="s">
        <v>319</v>
      </c>
      <c r="L367">
        <v>3</v>
      </c>
      <c r="M367">
        <v>44873</v>
      </c>
      <c r="N367">
        <v>134619</v>
      </c>
      <c r="O367">
        <v>0</v>
      </c>
      <c r="P367">
        <v>0</v>
      </c>
      <c r="Q367">
        <v>134619</v>
      </c>
      <c r="R367" t="s">
        <v>43</v>
      </c>
      <c r="S367" t="s">
        <v>69</v>
      </c>
      <c r="T367">
        <v>19</v>
      </c>
      <c r="U367">
        <v>25577.61</v>
      </c>
    </row>
    <row r="368" spans="1:21" x14ac:dyDescent="0.25">
      <c r="A368" t="s">
        <v>1093</v>
      </c>
      <c r="B368" s="8">
        <v>46005</v>
      </c>
      <c r="C368" t="s">
        <v>71</v>
      </c>
      <c r="D368" t="s">
        <v>1094</v>
      </c>
      <c r="E368" t="s">
        <v>24</v>
      </c>
      <c r="F368" t="s">
        <v>83</v>
      </c>
      <c r="G368" t="s">
        <v>38</v>
      </c>
      <c r="H368" t="s">
        <v>39</v>
      </c>
      <c r="I368" t="s">
        <v>88</v>
      </c>
      <c r="J368" t="s">
        <v>51</v>
      </c>
      <c r="K368" t="s">
        <v>1095</v>
      </c>
      <c r="L368">
        <v>7</v>
      </c>
      <c r="M368">
        <v>49999</v>
      </c>
      <c r="N368">
        <v>349993</v>
      </c>
      <c r="O368">
        <v>5</v>
      </c>
      <c r="P368">
        <v>17499.650000000001</v>
      </c>
      <c r="Q368">
        <v>332493.34999999998</v>
      </c>
      <c r="R368" t="s">
        <v>43</v>
      </c>
      <c r="S368" t="s">
        <v>32</v>
      </c>
      <c r="T368">
        <v>13</v>
      </c>
      <c r="U368">
        <v>43224.135499999997</v>
      </c>
    </row>
    <row r="369" spans="1:21" x14ac:dyDescent="0.25">
      <c r="A369" t="s">
        <v>1096</v>
      </c>
      <c r="B369" s="8">
        <v>45798</v>
      </c>
      <c r="C369" t="s">
        <v>34</v>
      </c>
      <c r="D369" t="s">
        <v>1097</v>
      </c>
      <c r="E369" t="s">
        <v>36</v>
      </c>
      <c r="F369" t="s">
        <v>94</v>
      </c>
      <c r="G369" t="s">
        <v>66</v>
      </c>
      <c r="H369" t="s">
        <v>39</v>
      </c>
      <c r="I369" t="s">
        <v>75</v>
      </c>
      <c r="J369" t="s">
        <v>41</v>
      </c>
      <c r="K369" t="s">
        <v>1098</v>
      </c>
      <c r="L369">
        <v>4</v>
      </c>
      <c r="M369">
        <v>14190</v>
      </c>
      <c r="N369">
        <v>56760</v>
      </c>
      <c r="O369">
        <v>15</v>
      </c>
      <c r="P369">
        <v>8514</v>
      </c>
      <c r="Q369">
        <v>48246</v>
      </c>
      <c r="R369" t="s">
        <v>53</v>
      </c>
      <c r="S369" t="s">
        <v>32</v>
      </c>
      <c r="T369">
        <v>26</v>
      </c>
      <c r="U369">
        <v>12543.96</v>
      </c>
    </row>
    <row r="370" spans="1:21" x14ac:dyDescent="0.25">
      <c r="A370" t="s">
        <v>1099</v>
      </c>
      <c r="B370" s="8">
        <v>45889</v>
      </c>
      <c r="C370" t="s">
        <v>92</v>
      </c>
      <c r="D370" t="s">
        <v>1100</v>
      </c>
      <c r="E370" t="s">
        <v>24</v>
      </c>
      <c r="F370" t="s">
        <v>83</v>
      </c>
      <c r="G370" t="s">
        <v>26</v>
      </c>
      <c r="H370" t="s">
        <v>57</v>
      </c>
      <c r="I370" t="s">
        <v>40</v>
      </c>
      <c r="J370" t="s">
        <v>41</v>
      </c>
      <c r="K370" t="s">
        <v>1101</v>
      </c>
      <c r="L370">
        <v>9</v>
      </c>
      <c r="M370">
        <v>7611</v>
      </c>
      <c r="N370">
        <v>68499</v>
      </c>
      <c r="O370">
        <v>0</v>
      </c>
      <c r="P370">
        <v>0</v>
      </c>
      <c r="Q370">
        <v>68499</v>
      </c>
      <c r="R370" t="s">
        <v>43</v>
      </c>
      <c r="S370" t="s">
        <v>69</v>
      </c>
      <c r="T370">
        <v>18</v>
      </c>
      <c r="U370">
        <v>12329.82</v>
      </c>
    </row>
    <row r="371" spans="1:21" x14ac:dyDescent="0.25">
      <c r="A371" t="s">
        <v>1102</v>
      </c>
      <c r="B371" s="8">
        <v>45907</v>
      </c>
      <c r="C371" t="s">
        <v>34</v>
      </c>
      <c r="D371" t="s">
        <v>892</v>
      </c>
      <c r="E371" t="s">
        <v>36</v>
      </c>
      <c r="F371" t="s">
        <v>25</v>
      </c>
      <c r="G371" t="s">
        <v>26</v>
      </c>
      <c r="H371" t="s">
        <v>57</v>
      </c>
      <c r="I371" t="s">
        <v>88</v>
      </c>
      <c r="J371" t="s">
        <v>29</v>
      </c>
      <c r="K371" t="s">
        <v>1103</v>
      </c>
      <c r="L371">
        <v>1</v>
      </c>
      <c r="M371">
        <v>6216</v>
      </c>
      <c r="N371">
        <v>6216</v>
      </c>
      <c r="O371">
        <v>20</v>
      </c>
      <c r="P371">
        <v>1243.2</v>
      </c>
      <c r="Q371">
        <v>4972.8</v>
      </c>
      <c r="R371" t="s">
        <v>31</v>
      </c>
      <c r="S371" t="s">
        <v>32</v>
      </c>
      <c r="T371">
        <v>15</v>
      </c>
      <c r="U371">
        <v>745.92</v>
      </c>
    </row>
    <row r="372" spans="1:21" x14ac:dyDescent="0.25">
      <c r="A372" t="s">
        <v>1104</v>
      </c>
      <c r="B372" s="8">
        <v>45799</v>
      </c>
      <c r="C372" t="s">
        <v>63</v>
      </c>
      <c r="D372" t="s">
        <v>166</v>
      </c>
      <c r="E372" t="s">
        <v>73</v>
      </c>
      <c r="F372" t="s">
        <v>94</v>
      </c>
      <c r="G372" t="s">
        <v>38</v>
      </c>
      <c r="H372" t="s">
        <v>27</v>
      </c>
      <c r="I372" t="s">
        <v>50</v>
      </c>
      <c r="J372" t="s">
        <v>29</v>
      </c>
      <c r="K372" t="s">
        <v>1105</v>
      </c>
      <c r="L372">
        <v>4</v>
      </c>
      <c r="M372">
        <v>41751</v>
      </c>
      <c r="N372">
        <v>167004</v>
      </c>
      <c r="O372">
        <v>0</v>
      </c>
      <c r="P372">
        <v>0</v>
      </c>
      <c r="Q372">
        <v>167004</v>
      </c>
      <c r="R372" t="s">
        <v>43</v>
      </c>
      <c r="S372" t="s">
        <v>69</v>
      </c>
      <c r="T372">
        <v>21</v>
      </c>
      <c r="U372">
        <v>35070.839999999997</v>
      </c>
    </row>
    <row r="373" spans="1:21" x14ac:dyDescent="0.25">
      <c r="A373" t="s">
        <v>1106</v>
      </c>
      <c r="B373" s="8">
        <v>45658</v>
      </c>
      <c r="C373" t="s">
        <v>120</v>
      </c>
      <c r="D373" t="s">
        <v>1107</v>
      </c>
      <c r="E373" t="s">
        <v>24</v>
      </c>
      <c r="F373" t="s">
        <v>74</v>
      </c>
      <c r="G373" t="s">
        <v>26</v>
      </c>
      <c r="H373" t="s">
        <v>27</v>
      </c>
      <c r="I373" t="s">
        <v>40</v>
      </c>
      <c r="J373" t="s">
        <v>41</v>
      </c>
      <c r="K373" t="s">
        <v>1108</v>
      </c>
      <c r="L373">
        <v>7</v>
      </c>
      <c r="M373">
        <v>11905</v>
      </c>
      <c r="N373">
        <v>83335</v>
      </c>
      <c r="O373">
        <v>10</v>
      </c>
      <c r="P373">
        <v>8333.5</v>
      </c>
      <c r="Q373">
        <v>75001.5</v>
      </c>
      <c r="R373" t="s">
        <v>31</v>
      </c>
      <c r="S373" t="s">
        <v>44</v>
      </c>
      <c r="T373">
        <v>10</v>
      </c>
      <c r="U373">
        <v>7500.15</v>
      </c>
    </row>
    <row r="374" spans="1:21" x14ac:dyDescent="0.25">
      <c r="A374" t="s">
        <v>1109</v>
      </c>
      <c r="B374" s="8">
        <v>45987</v>
      </c>
      <c r="C374" t="s">
        <v>120</v>
      </c>
      <c r="D374" t="s">
        <v>1110</v>
      </c>
      <c r="E374" t="s">
        <v>48</v>
      </c>
      <c r="F374" t="s">
        <v>83</v>
      </c>
      <c r="G374" t="s">
        <v>38</v>
      </c>
      <c r="H374" t="s">
        <v>39</v>
      </c>
      <c r="I374" t="s">
        <v>88</v>
      </c>
      <c r="J374" t="s">
        <v>117</v>
      </c>
      <c r="K374" t="s">
        <v>1111</v>
      </c>
      <c r="L374">
        <v>5</v>
      </c>
      <c r="M374">
        <v>34326</v>
      </c>
      <c r="N374">
        <v>171630</v>
      </c>
      <c r="O374">
        <v>10</v>
      </c>
      <c r="P374">
        <v>17163</v>
      </c>
      <c r="Q374">
        <v>154467</v>
      </c>
      <c r="R374" t="s">
        <v>31</v>
      </c>
      <c r="S374" t="s">
        <v>69</v>
      </c>
      <c r="T374">
        <v>5</v>
      </c>
      <c r="U374">
        <v>7723.35</v>
      </c>
    </row>
    <row r="375" spans="1:21" x14ac:dyDescent="0.25">
      <c r="A375" t="s">
        <v>1112</v>
      </c>
      <c r="B375" s="8">
        <v>45728</v>
      </c>
      <c r="C375" t="s">
        <v>22</v>
      </c>
      <c r="D375" t="s">
        <v>614</v>
      </c>
      <c r="E375" t="s">
        <v>24</v>
      </c>
      <c r="F375" t="s">
        <v>37</v>
      </c>
      <c r="G375" t="s">
        <v>38</v>
      </c>
      <c r="H375" t="s">
        <v>39</v>
      </c>
      <c r="I375" t="s">
        <v>50</v>
      </c>
      <c r="J375" t="s">
        <v>41</v>
      </c>
      <c r="K375" t="s">
        <v>1113</v>
      </c>
      <c r="L375">
        <v>7</v>
      </c>
      <c r="M375">
        <v>33966</v>
      </c>
      <c r="N375">
        <v>237762</v>
      </c>
      <c r="O375">
        <v>5</v>
      </c>
      <c r="P375">
        <v>11888.1</v>
      </c>
      <c r="Q375">
        <v>225873.9</v>
      </c>
      <c r="R375" t="s">
        <v>53</v>
      </c>
      <c r="S375" t="s">
        <v>44</v>
      </c>
      <c r="T375">
        <v>20</v>
      </c>
      <c r="U375">
        <v>45174.78</v>
      </c>
    </row>
    <row r="376" spans="1:21" x14ac:dyDescent="0.25">
      <c r="A376" t="s">
        <v>1114</v>
      </c>
      <c r="B376" s="8">
        <v>45866</v>
      </c>
      <c r="C376" t="s">
        <v>34</v>
      </c>
      <c r="D376" t="s">
        <v>1115</v>
      </c>
      <c r="E376" t="s">
        <v>36</v>
      </c>
      <c r="F376" t="s">
        <v>94</v>
      </c>
      <c r="G376" t="s">
        <v>38</v>
      </c>
      <c r="H376" t="s">
        <v>39</v>
      </c>
      <c r="I376" t="s">
        <v>28</v>
      </c>
      <c r="J376" t="s">
        <v>51</v>
      </c>
      <c r="K376" t="s">
        <v>1116</v>
      </c>
      <c r="L376">
        <v>6</v>
      </c>
      <c r="M376">
        <v>16752</v>
      </c>
      <c r="N376">
        <v>100512</v>
      </c>
      <c r="O376">
        <v>15</v>
      </c>
      <c r="P376">
        <v>15076.8</v>
      </c>
      <c r="Q376">
        <v>85435.199999999997</v>
      </c>
      <c r="R376" t="s">
        <v>53</v>
      </c>
      <c r="S376" t="s">
        <v>69</v>
      </c>
      <c r="T376">
        <v>6</v>
      </c>
      <c r="U376">
        <v>5126.1119999999992</v>
      </c>
    </row>
    <row r="377" spans="1:21" x14ac:dyDescent="0.25">
      <c r="A377" t="s">
        <v>1117</v>
      </c>
      <c r="B377" s="8">
        <v>45900</v>
      </c>
      <c r="C377" t="s">
        <v>92</v>
      </c>
      <c r="D377" t="s">
        <v>889</v>
      </c>
      <c r="E377" t="s">
        <v>24</v>
      </c>
      <c r="F377" t="s">
        <v>56</v>
      </c>
      <c r="G377" t="s">
        <v>38</v>
      </c>
      <c r="H377" t="s">
        <v>27</v>
      </c>
      <c r="I377" t="s">
        <v>75</v>
      </c>
      <c r="J377" t="s">
        <v>117</v>
      </c>
      <c r="K377" t="s">
        <v>1118</v>
      </c>
      <c r="L377">
        <v>2</v>
      </c>
      <c r="M377">
        <v>4076</v>
      </c>
      <c r="N377">
        <v>8152</v>
      </c>
      <c r="O377">
        <v>10</v>
      </c>
      <c r="P377">
        <v>815.2</v>
      </c>
      <c r="Q377">
        <v>7336.8</v>
      </c>
      <c r="R377" t="s">
        <v>53</v>
      </c>
      <c r="S377" t="s">
        <v>32</v>
      </c>
      <c r="T377">
        <v>26</v>
      </c>
      <c r="U377">
        <v>1907.568</v>
      </c>
    </row>
    <row r="378" spans="1:21" x14ac:dyDescent="0.25">
      <c r="A378" t="s">
        <v>1119</v>
      </c>
      <c r="B378" s="8">
        <v>45989</v>
      </c>
      <c r="C378" t="s">
        <v>34</v>
      </c>
      <c r="D378" t="s">
        <v>1120</v>
      </c>
      <c r="E378" t="s">
        <v>24</v>
      </c>
      <c r="F378" t="s">
        <v>56</v>
      </c>
      <c r="G378" t="s">
        <v>38</v>
      </c>
      <c r="H378" t="s">
        <v>27</v>
      </c>
      <c r="I378" t="s">
        <v>88</v>
      </c>
      <c r="J378" t="s">
        <v>41</v>
      </c>
      <c r="K378" t="s">
        <v>304</v>
      </c>
      <c r="L378">
        <v>6</v>
      </c>
      <c r="M378">
        <v>5781</v>
      </c>
      <c r="N378">
        <v>34686</v>
      </c>
      <c r="O378">
        <v>10</v>
      </c>
      <c r="P378">
        <v>3468.6</v>
      </c>
      <c r="Q378">
        <v>31217.4</v>
      </c>
      <c r="R378" t="s">
        <v>53</v>
      </c>
      <c r="S378" t="s">
        <v>44</v>
      </c>
      <c r="T378">
        <v>22</v>
      </c>
      <c r="U378">
        <v>6867.8280000000004</v>
      </c>
    </row>
    <row r="379" spans="1:21" x14ac:dyDescent="0.25">
      <c r="A379" t="s">
        <v>1121</v>
      </c>
      <c r="B379" s="8">
        <v>45914</v>
      </c>
      <c r="C379" t="s">
        <v>46</v>
      </c>
      <c r="D379" t="s">
        <v>1122</v>
      </c>
      <c r="E379" t="s">
        <v>73</v>
      </c>
      <c r="F379" t="s">
        <v>56</v>
      </c>
      <c r="G379" t="s">
        <v>38</v>
      </c>
      <c r="H379" t="s">
        <v>57</v>
      </c>
      <c r="I379" t="s">
        <v>28</v>
      </c>
      <c r="J379" t="s">
        <v>51</v>
      </c>
      <c r="K379" t="s">
        <v>1123</v>
      </c>
      <c r="L379">
        <v>1</v>
      </c>
      <c r="M379">
        <v>3863</v>
      </c>
      <c r="N379">
        <v>3863</v>
      </c>
      <c r="O379">
        <v>0</v>
      </c>
      <c r="P379">
        <v>0</v>
      </c>
      <c r="Q379">
        <v>3863</v>
      </c>
      <c r="R379" t="s">
        <v>43</v>
      </c>
      <c r="S379" t="s">
        <v>44</v>
      </c>
      <c r="T379">
        <v>10</v>
      </c>
      <c r="U379">
        <v>386.3</v>
      </c>
    </row>
    <row r="380" spans="1:21" x14ac:dyDescent="0.25">
      <c r="A380" t="s">
        <v>1124</v>
      </c>
      <c r="B380" s="8">
        <v>45792</v>
      </c>
      <c r="C380" t="s">
        <v>86</v>
      </c>
      <c r="D380" t="s">
        <v>1107</v>
      </c>
      <c r="E380" t="s">
        <v>73</v>
      </c>
      <c r="F380" t="s">
        <v>83</v>
      </c>
      <c r="G380" t="s">
        <v>66</v>
      </c>
      <c r="H380" t="s">
        <v>27</v>
      </c>
      <c r="I380" t="s">
        <v>75</v>
      </c>
      <c r="J380" t="s">
        <v>67</v>
      </c>
      <c r="K380" t="s">
        <v>1125</v>
      </c>
      <c r="L380">
        <v>6</v>
      </c>
      <c r="M380">
        <v>23852</v>
      </c>
      <c r="N380">
        <v>143112</v>
      </c>
      <c r="O380">
        <v>15</v>
      </c>
      <c r="P380">
        <v>21466.799999999999</v>
      </c>
      <c r="Q380">
        <v>121645.2</v>
      </c>
      <c r="R380" t="s">
        <v>31</v>
      </c>
      <c r="S380" t="s">
        <v>32</v>
      </c>
      <c r="T380">
        <v>18</v>
      </c>
      <c r="U380">
        <v>21896.135999999999</v>
      </c>
    </row>
    <row r="381" spans="1:21" x14ac:dyDescent="0.25">
      <c r="A381" t="s">
        <v>1126</v>
      </c>
      <c r="B381" s="8">
        <v>45903</v>
      </c>
      <c r="C381" t="s">
        <v>147</v>
      </c>
      <c r="D381" t="s">
        <v>23</v>
      </c>
      <c r="E381" t="s">
        <v>48</v>
      </c>
      <c r="F381" t="s">
        <v>49</v>
      </c>
      <c r="G381" t="s">
        <v>26</v>
      </c>
      <c r="H381" t="s">
        <v>27</v>
      </c>
      <c r="I381" t="s">
        <v>40</v>
      </c>
      <c r="J381" t="s">
        <v>117</v>
      </c>
      <c r="K381" t="s">
        <v>1127</v>
      </c>
      <c r="L381">
        <v>10</v>
      </c>
      <c r="M381">
        <v>44191</v>
      </c>
      <c r="N381">
        <v>441910</v>
      </c>
      <c r="O381">
        <v>0</v>
      </c>
      <c r="P381">
        <v>0</v>
      </c>
      <c r="Q381">
        <v>441910</v>
      </c>
      <c r="R381" t="s">
        <v>43</v>
      </c>
      <c r="S381" t="s">
        <v>69</v>
      </c>
      <c r="T381">
        <v>22</v>
      </c>
      <c r="U381">
        <v>97220.2</v>
      </c>
    </row>
    <row r="382" spans="1:21" x14ac:dyDescent="0.25">
      <c r="A382" t="s">
        <v>1128</v>
      </c>
      <c r="B382" s="8">
        <v>45987</v>
      </c>
      <c r="C382" t="s">
        <v>63</v>
      </c>
      <c r="D382" t="s">
        <v>1129</v>
      </c>
      <c r="E382" t="s">
        <v>48</v>
      </c>
      <c r="F382" t="s">
        <v>25</v>
      </c>
      <c r="G382" t="s">
        <v>38</v>
      </c>
      <c r="H382" t="s">
        <v>57</v>
      </c>
      <c r="I382" t="s">
        <v>101</v>
      </c>
      <c r="J382" t="s">
        <v>51</v>
      </c>
      <c r="K382" t="s">
        <v>1130</v>
      </c>
      <c r="L382">
        <v>4</v>
      </c>
      <c r="M382">
        <v>3390</v>
      </c>
      <c r="N382">
        <v>13560</v>
      </c>
      <c r="O382">
        <v>0</v>
      </c>
      <c r="P382">
        <v>0</v>
      </c>
      <c r="Q382">
        <v>13560</v>
      </c>
      <c r="R382" t="s">
        <v>53</v>
      </c>
      <c r="S382" t="s">
        <v>44</v>
      </c>
      <c r="T382">
        <v>23</v>
      </c>
      <c r="U382">
        <v>3118.8</v>
      </c>
    </row>
    <row r="383" spans="1:21" x14ac:dyDescent="0.25">
      <c r="A383" t="s">
        <v>1131</v>
      </c>
      <c r="B383" s="8">
        <v>45951</v>
      </c>
      <c r="C383" t="s">
        <v>63</v>
      </c>
      <c r="D383" t="s">
        <v>1132</v>
      </c>
      <c r="E383" t="s">
        <v>36</v>
      </c>
      <c r="F383" t="s">
        <v>74</v>
      </c>
      <c r="G383" t="s">
        <v>66</v>
      </c>
      <c r="H383" t="s">
        <v>57</v>
      </c>
      <c r="I383" t="s">
        <v>28</v>
      </c>
      <c r="J383" t="s">
        <v>67</v>
      </c>
      <c r="K383" t="s">
        <v>1133</v>
      </c>
      <c r="L383">
        <v>5</v>
      </c>
      <c r="M383">
        <v>48902</v>
      </c>
      <c r="N383">
        <v>244510</v>
      </c>
      <c r="O383">
        <v>0</v>
      </c>
      <c r="P383">
        <v>0</v>
      </c>
      <c r="Q383">
        <v>244510</v>
      </c>
      <c r="R383" t="s">
        <v>31</v>
      </c>
      <c r="S383" t="s">
        <v>32</v>
      </c>
      <c r="T383">
        <v>28</v>
      </c>
      <c r="U383">
        <v>68462.8</v>
      </c>
    </row>
    <row r="384" spans="1:21" x14ac:dyDescent="0.25">
      <c r="A384" t="s">
        <v>1134</v>
      </c>
      <c r="B384" s="8">
        <v>45916</v>
      </c>
      <c r="C384" t="s">
        <v>81</v>
      </c>
      <c r="D384" t="s">
        <v>658</v>
      </c>
      <c r="E384" t="s">
        <v>36</v>
      </c>
      <c r="F384" t="s">
        <v>25</v>
      </c>
      <c r="G384" t="s">
        <v>66</v>
      </c>
      <c r="H384" t="s">
        <v>27</v>
      </c>
      <c r="I384" t="s">
        <v>40</v>
      </c>
      <c r="J384" t="s">
        <v>78</v>
      </c>
      <c r="K384" t="s">
        <v>1135</v>
      </c>
      <c r="L384">
        <v>7</v>
      </c>
      <c r="M384">
        <v>34960</v>
      </c>
      <c r="N384">
        <v>244720</v>
      </c>
      <c r="O384">
        <v>5</v>
      </c>
      <c r="P384">
        <v>12236</v>
      </c>
      <c r="Q384">
        <v>232484</v>
      </c>
      <c r="R384" t="s">
        <v>53</v>
      </c>
      <c r="S384" t="s">
        <v>32</v>
      </c>
      <c r="T384">
        <v>11</v>
      </c>
      <c r="U384">
        <v>25573.24</v>
      </c>
    </row>
    <row r="385" spans="1:21" x14ac:dyDescent="0.25">
      <c r="A385" t="s">
        <v>1136</v>
      </c>
      <c r="B385" s="8">
        <v>45741</v>
      </c>
      <c r="C385" t="s">
        <v>34</v>
      </c>
      <c r="D385" t="s">
        <v>1137</v>
      </c>
      <c r="E385" t="s">
        <v>48</v>
      </c>
      <c r="F385" t="s">
        <v>94</v>
      </c>
      <c r="G385" t="s">
        <v>66</v>
      </c>
      <c r="H385" t="s">
        <v>39</v>
      </c>
      <c r="I385" t="s">
        <v>101</v>
      </c>
      <c r="J385" t="s">
        <v>51</v>
      </c>
      <c r="K385" t="s">
        <v>1138</v>
      </c>
      <c r="L385">
        <v>8</v>
      </c>
      <c r="M385">
        <v>3777</v>
      </c>
      <c r="N385">
        <v>30216</v>
      </c>
      <c r="O385">
        <v>15</v>
      </c>
      <c r="P385">
        <v>4532.3999999999996</v>
      </c>
      <c r="Q385">
        <v>25683.599999999999</v>
      </c>
      <c r="R385" t="s">
        <v>90</v>
      </c>
      <c r="S385" t="s">
        <v>69</v>
      </c>
      <c r="T385">
        <v>22</v>
      </c>
      <c r="U385">
        <v>5650.3919999999998</v>
      </c>
    </row>
    <row r="386" spans="1:21" x14ac:dyDescent="0.25">
      <c r="A386" t="s">
        <v>1139</v>
      </c>
      <c r="B386" s="8">
        <v>45888</v>
      </c>
      <c r="C386" t="s">
        <v>34</v>
      </c>
      <c r="D386" t="s">
        <v>93</v>
      </c>
      <c r="E386" t="s">
        <v>24</v>
      </c>
      <c r="F386" t="s">
        <v>37</v>
      </c>
      <c r="G386" t="s">
        <v>38</v>
      </c>
      <c r="H386" t="s">
        <v>39</v>
      </c>
      <c r="I386" t="s">
        <v>75</v>
      </c>
      <c r="J386" t="s">
        <v>41</v>
      </c>
      <c r="K386" t="s">
        <v>1140</v>
      </c>
      <c r="L386">
        <v>6</v>
      </c>
      <c r="M386">
        <v>48169</v>
      </c>
      <c r="N386">
        <v>289014</v>
      </c>
      <c r="O386">
        <v>5</v>
      </c>
      <c r="P386">
        <v>14450.7</v>
      </c>
      <c r="Q386">
        <v>274563.3</v>
      </c>
      <c r="R386" t="s">
        <v>43</v>
      </c>
      <c r="S386" t="s">
        <v>69</v>
      </c>
      <c r="T386">
        <v>24</v>
      </c>
      <c r="U386">
        <v>65895.191999999995</v>
      </c>
    </row>
    <row r="387" spans="1:21" x14ac:dyDescent="0.25">
      <c r="A387" t="s">
        <v>1141</v>
      </c>
      <c r="B387" s="8">
        <v>45778</v>
      </c>
      <c r="C387" t="s">
        <v>34</v>
      </c>
      <c r="D387" t="s">
        <v>511</v>
      </c>
      <c r="E387" t="s">
        <v>24</v>
      </c>
      <c r="F387" t="s">
        <v>74</v>
      </c>
      <c r="G387" t="s">
        <v>38</v>
      </c>
      <c r="H387" t="s">
        <v>57</v>
      </c>
      <c r="I387" t="s">
        <v>88</v>
      </c>
      <c r="J387" t="s">
        <v>41</v>
      </c>
      <c r="K387" t="s">
        <v>1142</v>
      </c>
      <c r="L387">
        <v>1</v>
      </c>
      <c r="M387">
        <v>24638</v>
      </c>
      <c r="N387">
        <v>24638</v>
      </c>
      <c r="O387">
        <v>20</v>
      </c>
      <c r="P387">
        <v>4927.6000000000004</v>
      </c>
      <c r="Q387">
        <v>19710.400000000001</v>
      </c>
      <c r="R387" t="s">
        <v>43</v>
      </c>
      <c r="S387" t="s">
        <v>32</v>
      </c>
      <c r="T387">
        <v>22</v>
      </c>
      <c r="U387">
        <v>4336.2879999999996</v>
      </c>
    </row>
    <row r="388" spans="1:21" x14ac:dyDescent="0.25">
      <c r="A388" t="s">
        <v>1143</v>
      </c>
      <c r="B388" s="8">
        <v>46003</v>
      </c>
      <c r="C388" t="s">
        <v>147</v>
      </c>
      <c r="D388" t="s">
        <v>628</v>
      </c>
      <c r="E388" t="s">
        <v>73</v>
      </c>
      <c r="F388" t="s">
        <v>65</v>
      </c>
      <c r="G388" t="s">
        <v>38</v>
      </c>
      <c r="H388" t="s">
        <v>27</v>
      </c>
      <c r="I388" t="s">
        <v>50</v>
      </c>
      <c r="J388" t="s">
        <v>78</v>
      </c>
      <c r="K388" t="s">
        <v>1144</v>
      </c>
      <c r="L388">
        <v>4</v>
      </c>
      <c r="M388">
        <v>32330</v>
      </c>
      <c r="N388">
        <v>129320</v>
      </c>
      <c r="O388">
        <v>15</v>
      </c>
      <c r="P388">
        <v>19398</v>
      </c>
      <c r="Q388">
        <v>109922</v>
      </c>
      <c r="R388" t="s">
        <v>43</v>
      </c>
      <c r="S388" t="s">
        <v>69</v>
      </c>
      <c r="T388">
        <v>12</v>
      </c>
      <c r="U388">
        <v>13190.64</v>
      </c>
    </row>
    <row r="389" spans="1:21" x14ac:dyDescent="0.25">
      <c r="A389" t="s">
        <v>1145</v>
      </c>
      <c r="B389" s="8">
        <v>45838</v>
      </c>
      <c r="C389" t="s">
        <v>22</v>
      </c>
      <c r="D389" t="s">
        <v>1146</v>
      </c>
      <c r="E389" t="s">
        <v>24</v>
      </c>
      <c r="F389" t="s">
        <v>37</v>
      </c>
      <c r="G389" t="s">
        <v>66</v>
      </c>
      <c r="H389" t="s">
        <v>39</v>
      </c>
      <c r="I389" t="s">
        <v>28</v>
      </c>
      <c r="J389" t="s">
        <v>51</v>
      </c>
      <c r="K389" t="s">
        <v>1147</v>
      </c>
      <c r="L389">
        <v>4</v>
      </c>
      <c r="M389">
        <v>24426</v>
      </c>
      <c r="N389">
        <v>97704</v>
      </c>
      <c r="O389">
        <v>10</v>
      </c>
      <c r="P389">
        <v>9770.4</v>
      </c>
      <c r="Q389">
        <v>87933.6</v>
      </c>
      <c r="R389" t="s">
        <v>90</v>
      </c>
      <c r="S389" t="s">
        <v>44</v>
      </c>
      <c r="T389">
        <v>14</v>
      </c>
      <c r="U389">
        <v>12310.704</v>
      </c>
    </row>
    <row r="390" spans="1:21" x14ac:dyDescent="0.25">
      <c r="A390" t="s">
        <v>1148</v>
      </c>
      <c r="B390" s="8">
        <v>45796</v>
      </c>
      <c r="C390" t="s">
        <v>63</v>
      </c>
      <c r="D390" t="s">
        <v>1149</v>
      </c>
      <c r="E390" t="s">
        <v>24</v>
      </c>
      <c r="F390" t="s">
        <v>74</v>
      </c>
      <c r="G390" t="s">
        <v>26</v>
      </c>
      <c r="H390" t="s">
        <v>39</v>
      </c>
      <c r="I390" t="s">
        <v>28</v>
      </c>
      <c r="J390" t="s">
        <v>78</v>
      </c>
      <c r="K390" t="s">
        <v>1150</v>
      </c>
      <c r="L390">
        <v>5</v>
      </c>
      <c r="M390">
        <v>44274</v>
      </c>
      <c r="N390">
        <v>221370</v>
      </c>
      <c r="O390">
        <v>5</v>
      </c>
      <c r="P390">
        <v>11068.5</v>
      </c>
      <c r="Q390">
        <v>210301.5</v>
      </c>
      <c r="R390" t="s">
        <v>53</v>
      </c>
      <c r="S390" t="s">
        <v>32</v>
      </c>
      <c r="T390">
        <v>7</v>
      </c>
      <c r="U390">
        <v>14721.105</v>
      </c>
    </row>
    <row r="391" spans="1:21" x14ac:dyDescent="0.25">
      <c r="A391" t="s">
        <v>1151</v>
      </c>
      <c r="B391" s="8">
        <v>45776</v>
      </c>
      <c r="C391" t="s">
        <v>22</v>
      </c>
      <c r="D391" t="s">
        <v>1024</v>
      </c>
      <c r="E391" t="s">
        <v>36</v>
      </c>
      <c r="F391" t="s">
        <v>56</v>
      </c>
      <c r="G391" t="s">
        <v>26</v>
      </c>
      <c r="H391" t="s">
        <v>57</v>
      </c>
      <c r="I391" t="s">
        <v>28</v>
      </c>
      <c r="J391" t="s">
        <v>51</v>
      </c>
      <c r="K391" t="s">
        <v>1152</v>
      </c>
      <c r="L391">
        <v>10</v>
      </c>
      <c r="M391">
        <v>2470</v>
      </c>
      <c r="N391">
        <v>24700</v>
      </c>
      <c r="O391">
        <v>15</v>
      </c>
      <c r="P391">
        <v>3705</v>
      </c>
      <c r="Q391">
        <v>20995</v>
      </c>
      <c r="R391" t="s">
        <v>43</v>
      </c>
      <c r="S391" t="s">
        <v>44</v>
      </c>
      <c r="T391">
        <v>14</v>
      </c>
      <c r="U391">
        <v>2939.3</v>
      </c>
    </row>
    <row r="392" spans="1:21" x14ac:dyDescent="0.25">
      <c r="A392" t="s">
        <v>1153</v>
      </c>
      <c r="B392" s="8">
        <v>45786</v>
      </c>
      <c r="C392" t="s">
        <v>147</v>
      </c>
      <c r="D392" t="s">
        <v>1154</v>
      </c>
      <c r="E392" t="s">
        <v>24</v>
      </c>
      <c r="F392" t="s">
        <v>25</v>
      </c>
      <c r="G392" t="s">
        <v>26</v>
      </c>
      <c r="H392" t="s">
        <v>39</v>
      </c>
      <c r="I392" t="s">
        <v>28</v>
      </c>
      <c r="J392" t="s">
        <v>117</v>
      </c>
      <c r="K392" t="s">
        <v>1155</v>
      </c>
      <c r="L392">
        <v>6</v>
      </c>
      <c r="M392">
        <v>20387</v>
      </c>
      <c r="N392">
        <v>122322</v>
      </c>
      <c r="O392">
        <v>5</v>
      </c>
      <c r="P392">
        <v>6116.1</v>
      </c>
      <c r="Q392">
        <v>116205.9</v>
      </c>
      <c r="R392" t="s">
        <v>90</v>
      </c>
      <c r="S392" t="s">
        <v>44</v>
      </c>
      <c r="T392">
        <v>20</v>
      </c>
      <c r="U392">
        <v>23241.18</v>
      </c>
    </row>
    <row r="393" spans="1:21" x14ac:dyDescent="0.25">
      <c r="A393" t="s">
        <v>1156</v>
      </c>
      <c r="B393" s="8">
        <v>45706</v>
      </c>
      <c r="C393" t="s">
        <v>120</v>
      </c>
      <c r="D393" t="s">
        <v>850</v>
      </c>
      <c r="E393" t="s">
        <v>48</v>
      </c>
      <c r="F393" t="s">
        <v>65</v>
      </c>
      <c r="G393" t="s">
        <v>38</v>
      </c>
      <c r="H393" t="s">
        <v>27</v>
      </c>
      <c r="I393" t="s">
        <v>28</v>
      </c>
      <c r="J393" t="s">
        <v>29</v>
      </c>
      <c r="K393" t="s">
        <v>1157</v>
      </c>
      <c r="L393">
        <v>6</v>
      </c>
      <c r="M393">
        <v>13419</v>
      </c>
      <c r="N393">
        <v>80514</v>
      </c>
      <c r="O393">
        <v>5</v>
      </c>
      <c r="P393">
        <v>4025.7</v>
      </c>
      <c r="Q393">
        <v>76488.3</v>
      </c>
      <c r="R393" t="s">
        <v>43</v>
      </c>
      <c r="S393" t="s">
        <v>44</v>
      </c>
      <c r="T393">
        <v>5</v>
      </c>
      <c r="U393">
        <v>3824.415</v>
      </c>
    </row>
    <row r="394" spans="1:21" x14ac:dyDescent="0.25">
      <c r="A394" t="s">
        <v>1158</v>
      </c>
      <c r="B394" s="8">
        <v>45874</v>
      </c>
      <c r="C394" t="s">
        <v>81</v>
      </c>
      <c r="D394" t="s">
        <v>1076</v>
      </c>
      <c r="E394" t="s">
        <v>73</v>
      </c>
      <c r="F394" t="s">
        <v>56</v>
      </c>
      <c r="G394" t="s">
        <v>66</v>
      </c>
      <c r="H394" t="s">
        <v>39</v>
      </c>
      <c r="I394" t="s">
        <v>75</v>
      </c>
      <c r="J394" t="s">
        <v>41</v>
      </c>
      <c r="K394" t="s">
        <v>1159</v>
      </c>
      <c r="L394">
        <v>1</v>
      </c>
      <c r="M394">
        <v>2576</v>
      </c>
      <c r="N394">
        <v>2576</v>
      </c>
      <c r="O394">
        <v>5</v>
      </c>
      <c r="P394">
        <v>128.80000000000001</v>
      </c>
      <c r="Q394">
        <v>2447.1999999999998</v>
      </c>
      <c r="R394" t="s">
        <v>53</v>
      </c>
      <c r="S394" t="s">
        <v>69</v>
      </c>
      <c r="T394">
        <v>5</v>
      </c>
      <c r="U394">
        <v>122.36</v>
      </c>
    </row>
    <row r="395" spans="1:21" x14ac:dyDescent="0.25">
      <c r="A395" t="s">
        <v>1160</v>
      </c>
      <c r="B395" s="8">
        <v>45681</v>
      </c>
      <c r="C395" t="s">
        <v>63</v>
      </c>
      <c r="D395" t="s">
        <v>1161</v>
      </c>
      <c r="E395" t="s">
        <v>36</v>
      </c>
      <c r="F395" t="s">
        <v>25</v>
      </c>
      <c r="G395" t="s">
        <v>66</v>
      </c>
      <c r="H395" t="s">
        <v>27</v>
      </c>
      <c r="I395" t="s">
        <v>40</v>
      </c>
      <c r="J395" t="s">
        <v>41</v>
      </c>
      <c r="K395" t="s">
        <v>1162</v>
      </c>
      <c r="L395">
        <v>3</v>
      </c>
      <c r="M395">
        <v>6140</v>
      </c>
      <c r="N395">
        <v>18420</v>
      </c>
      <c r="O395">
        <v>5</v>
      </c>
      <c r="P395">
        <v>921</v>
      </c>
      <c r="Q395">
        <v>17499</v>
      </c>
      <c r="R395" t="s">
        <v>43</v>
      </c>
      <c r="S395" t="s">
        <v>32</v>
      </c>
      <c r="T395">
        <v>26</v>
      </c>
      <c r="U395">
        <v>4549.74</v>
      </c>
    </row>
    <row r="396" spans="1:21" x14ac:dyDescent="0.25">
      <c r="A396" t="s">
        <v>1163</v>
      </c>
      <c r="B396" s="8">
        <v>45960</v>
      </c>
      <c r="C396" t="s">
        <v>81</v>
      </c>
      <c r="D396" t="s">
        <v>1164</v>
      </c>
      <c r="E396" t="s">
        <v>36</v>
      </c>
      <c r="F396" t="s">
        <v>49</v>
      </c>
      <c r="G396" t="s">
        <v>66</v>
      </c>
      <c r="H396" t="s">
        <v>39</v>
      </c>
      <c r="I396" t="s">
        <v>50</v>
      </c>
      <c r="J396" t="s">
        <v>41</v>
      </c>
      <c r="K396" t="s">
        <v>1165</v>
      </c>
      <c r="L396">
        <v>7</v>
      </c>
      <c r="M396">
        <v>1999</v>
      </c>
      <c r="N396">
        <v>13993</v>
      </c>
      <c r="O396">
        <v>15</v>
      </c>
      <c r="P396">
        <v>2098.9499999999998</v>
      </c>
      <c r="Q396">
        <v>11894.05</v>
      </c>
      <c r="R396" t="s">
        <v>53</v>
      </c>
      <c r="S396" t="s">
        <v>44</v>
      </c>
      <c r="T396">
        <v>19</v>
      </c>
      <c r="U396">
        <v>2259.8694999999998</v>
      </c>
    </row>
    <row r="397" spans="1:21" x14ac:dyDescent="0.25">
      <c r="A397" t="s">
        <v>1166</v>
      </c>
      <c r="B397" s="8">
        <v>45938</v>
      </c>
      <c r="C397" t="s">
        <v>86</v>
      </c>
      <c r="D397" t="s">
        <v>23</v>
      </c>
      <c r="E397" t="s">
        <v>73</v>
      </c>
      <c r="F397" t="s">
        <v>94</v>
      </c>
      <c r="G397" t="s">
        <v>66</v>
      </c>
      <c r="H397" t="s">
        <v>39</v>
      </c>
      <c r="I397" t="s">
        <v>50</v>
      </c>
      <c r="J397" t="s">
        <v>51</v>
      </c>
      <c r="K397" t="s">
        <v>1167</v>
      </c>
      <c r="L397">
        <v>1</v>
      </c>
      <c r="M397">
        <v>31388</v>
      </c>
      <c r="N397">
        <v>31388</v>
      </c>
      <c r="O397">
        <v>0</v>
      </c>
      <c r="P397">
        <v>0</v>
      </c>
      <c r="Q397">
        <v>31388</v>
      </c>
      <c r="R397" t="s">
        <v>53</v>
      </c>
      <c r="S397" t="s">
        <v>69</v>
      </c>
      <c r="T397">
        <v>19</v>
      </c>
      <c r="U397">
        <v>5963.72</v>
      </c>
    </row>
    <row r="398" spans="1:21" x14ac:dyDescent="0.25">
      <c r="A398" t="s">
        <v>1168</v>
      </c>
      <c r="B398" s="8">
        <v>45965</v>
      </c>
      <c r="C398" t="s">
        <v>22</v>
      </c>
      <c r="D398" t="s">
        <v>1169</v>
      </c>
      <c r="E398" t="s">
        <v>24</v>
      </c>
      <c r="F398" t="s">
        <v>49</v>
      </c>
      <c r="G398" t="s">
        <v>26</v>
      </c>
      <c r="H398" t="s">
        <v>27</v>
      </c>
      <c r="I398" t="s">
        <v>75</v>
      </c>
      <c r="J398" t="s">
        <v>67</v>
      </c>
      <c r="K398" t="s">
        <v>1170</v>
      </c>
      <c r="L398">
        <v>8</v>
      </c>
      <c r="M398">
        <v>43880</v>
      </c>
      <c r="N398">
        <v>351040</v>
      </c>
      <c r="O398">
        <v>0</v>
      </c>
      <c r="P398">
        <v>0</v>
      </c>
      <c r="Q398">
        <v>351040</v>
      </c>
      <c r="R398" t="s">
        <v>31</v>
      </c>
      <c r="S398" t="s">
        <v>32</v>
      </c>
      <c r="T398">
        <v>12</v>
      </c>
      <c r="U398">
        <v>42124.800000000003</v>
      </c>
    </row>
    <row r="399" spans="1:21" x14ac:dyDescent="0.25">
      <c r="A399" t="s">
        <v>1171</v>
      </c>
      <c r="B399" s="8">
        <v>45895</v>
      </c>
      <c r="C399" t="s">
        <v>86</v>
      </c>
      <c r="D399" t="s">
        <v>1172</v>
      </c>
      <c r="E399" t="s">
        <v>73</v>
      </c>
      <c r="F399" t="s">
        <v>94</v>
      </c>
      <c r="G399" t="s">
        <v>66</v>
      </c>
      <c r="H399" t="s">
        <v>27</v>
      </c>
      <c r="I399" t="s">
        <v>75</v>
      </c>
      <c r="J399" t="s">
        <v>117</v>
      </c>
      <c r="K399" t="s">
        <v>1173</v>
      </c>
      <c r="L399">
        <v>10</v>
      </c>
      <c r="M399">
        <v>41630</v>
      </c>
      <c r="N399">
        <v>416300</v>
      </c>
      <c r="O399">
        <v>20</v>
      </c>
      <c r="P399">
        <v>83260</v>
      </c>
      <c r="Q399">
        <v>333040</v>
      </c>
      <c r="R399" t="s">
        <v>31</v>
      </c>
      <c r="S399" t="s">
        <v>32</v>
      </c>
      <c r="T399">
        <v>26</v>
      </c>
      <c r="U399">
        <v>86590.399999999994</v>
      </c>
    </row>
    <row r="400" spans="1:21" x14ac:dyDescent="0.25">
      <c r="A400" t="s">
        <v>1174</v>
      </c>
      <c r="B400" s="8">
        <v>45990</v>
      </c>
      <c r="C400" t="s">
        <v>71</v>
      </c>
      <c r="D400" t="s">
        <v>661</v>
      </c>
      <c r="E400" t="s">
        <v>24</v>
      </c>
      <c r="F400" t="s">
        <v>74</v>
      </c>
      <c r="G400" t="s">
        <v>26</v>
      </c>
      <c r="H400" t="s">
        <v>27</v>
      </c>
      <c r="I400" t="s">
        <v>75</v>
      </c>
      <c r="J400" t="s">
        <v>41</v>
      </c>
      <c r="K400" t="s">
        <v>1175</v>
      </c>
      <c r="L400">
        <v>1</v>
      </c>
      <c r="M400">
        <v>30405</v>
      </c>
      <c r="N400">
        <v>30405</v>
      </c>
      <c r="O400">
        <v>15</v>
      </c>
      <c r="P400">
        <v>4560.75</v>
      </c>
      <c r="Q400">
        <v>25844.25</v>
      </c>
      <c r="R400" t="s">
        <v>90</v>
      </c>
      <c r="S400" t="s">
        <v>44</v>
      </c>
      <c r="T400">
        <v>11</v>
      </c>
      <c r="U400">
        <v>2842.8674999999998</v>
      </c>
    </row>
    <row r="401" spans="1:21" x14ac:dyDescent="0.25">
      <c r="A401" t="s">
        <v>1176</v>
      </c>
      <c r="B401" s="8">
        <v>45761</v>
      </c>
      <c r="C401" t="s">
        <v>71</v>
      </c>
      <c r="D401" t="s">
        <v>874</v>
      </c>
      <c r="E401" t="s">
        <v>36</v>
      </c>
      <c r="F401" t="s">
        <v>25</v>
      </c>
      <c r="G401" t="s">
        <v>38</v>
      </c>
      <c r="H401" t="s">
        <v>27</v>
      </c>
      <c r="I401" t="s">
        <v>50</v>
      </c>
      <c r="J401" t="s">
        <v>51</v>
      </c>
      <c r="K401" t="s">
        <v>1177</v>
      </c>
      <c r="L401">
        <v>1</v>
      </c>
      <c r="M401">
        <v>31798</v>
      </c>
      <c r="N401">
        <v>31798</v>
      </c>
      <c r="O401">
        <v>20</v>
      </c>
      <c r="P401">
        <v>6359.6</v>
      </c>
      <c r="Q401">
        <v>25438.400000000001</v>
      </c>
      <c r="R401" t="s">
        <v>43</v>
      </c>
      <c r="S401" t="s">
        <v>44</v>
      </c>
      <c r="T401">
        <v>20</v>
      </c>
      <c r="U401">
        <v>5087.68</v>
      </c>
    </row>
    <row r="402" spans="1:21" x14ac:dyDescent="0.25">
      <c r="A402" t="s">
        <v>1178</v>
      </c>
      <c r="B402" s="8">
        <v>45882</v>
      </c>
      <c r="C402" t="s">
        <v>81</v>
      </c>
      <c r="D402" t="s">
        <v>1179</v>
      </c>
      <c r="E402" t="s">
        <v>36</v>
      </c>
      <c r="F402" t="s">
        <v>37</v>
      </c>
      <c r="G402" t="s">
        <v>66</v>
      </c>
      <c r="H402" t="s">
        <v>27</v>
      </c>
      <c r="I402" t="s">
        <v>40</v>
      </c>
      <c r="J402" t="s">
        <v>51</v>
      </c>
      <c r="K402" t="s">
        <v>1180</v>
      </c>
      <c r="L402">
        <v>9</v>
      </c>
      <c r="M402">
        <v>23624</v>
      </c>
      <c r="N402">
        <v>212616</v>
      </c>
      <c r="O402">
        <v>20</v>
      </c>
      <c r="P402">
        <v>42523.199999999997</v>
      </c>
      <c r="Q402">
        <v>170092.79999999999</v>
      </c>
      <c r="R402" t="s">
        <v>90</v>
      </c>
      <c r="S402" t="s">
        <v>69</v>
      </c>
      <c r="T402">
        <v>5</v>
      </c>
      <c r="U402">
        <v>8504.64</v>
      </c>
    </row>
    <row r="403" spans="1:21" x14ac:dyDescent="0.25">
      <c r="A403" t="s">
        <v>1181</v>
      </c>
      <c r="B403" s="8">
        <v>45985</v>
      </c>
      <c r="C403" t="s">
        <v>22</v>
      </c>
      <c r="D403" t="s">
        <v>1182</v>
      </c>
      <c r="E403" t="s">
        <v>24</v>
      </c>
      <c r="F403" t="s">
        <v>83</v>
      </c>
      <c r="G403" t="s">
        <v>66</v>
      </c>
      <c r="H403" t="s">
        <v>57</v>
      </c>
      <c r="I403" t="s">
        <v>101</v>
      </c>
      <c r="J403" t="s">
        <v>51</v>
      </c>
      <c r="K403" t="s">
        <v>1183</v>
      </c>
      <c r="L403">
        <v>8</v>
      </c>
      <c r="M403">
        <v>1814</v>
      </c>
      <c r="N403">
        <v>14512</v>
      </c>
      <c r="O403">
        <v>15</v>
      </c>
      <c r="P403">
        <v>2176.8000000000002</v>
      </c>
      <c r="Q403">
        <v>12335.2</v>
      </c>
      <c r="R403" t="s">
        <v>31</v>
      </c>
      <c r="S403" t="s">
        <v>32</v>
      </c>
      <c r="T403">
        <v>30</v>
      </c>
      <c r="U403">
        <v>3700.56</v>
      </c>
    </row>
    <row r="404" spans="1:21" x14ac:dyDescent="0.25">
      <c r="A404" t="s">
        <v>1184</v>
      </c>
      <c r="B404" s="8">
        <v>45980</v>
      </c>
      <c r="C404" t="s">
        <v>71</v>
      </c>
      <c r="D404" t="s">
        <v>1185</v>
      </c>
      <c r="E404" t="s">
        <v>24</v>
      </c>
      <c r="F404" t="s">
        <v>37</v>
      </c>
      <c r="G404" t="s">
        <v>26</v>
      </c>
      <c r="H404" t="s">
        <v>57</v>
      </c>
      <c r="I404" t="s">
        <v>40</v>
      </c>
      <c r="J404" t="s">
        <v>51</v>
      </c>
      <c r="K404" t="s">
        <v>1186</v>
      </c>
      <c r="L404">
        <v>1</v>
      </c>
      <c r="M404">
        <v>5252</v>
      </c>
      <c r="N404">
        <v>5252</v>
      </c>
      <c r="O404">
        <v>20</v>
      </c>
      <c r="P404">
        <v>1050.4000000000001</v>
      </c>
      <c r="Q404">
        <v>4201.6000000000004</v>
      </c>
      <c r="R404" t="s">
        <v>43</v>
      </c>
      <c r="S404" t="s">
        <v>44</v>
      </c>
      <c r="T404">
        <v>28</v>
      </c>
      <c r="U404">
        <v>1176.4480000000001</v>
      </c>
    </row>
    <row r="405" spans="1:21" x14ac:dyDescent="0.25">
      <c r="A405" t="s">
        <v>1187</v>
      </c>
      <c r="B405" s="8">
        <v>46006</v>
      </c>
      <c r="C405" t="s">
        <v>120</v>
      </c>
      <c r="D405" t="s">
        <v>729</v>
      </c>
      <c r="E405" t="s">
        <v>36</v>
      </c>
      <c r="F405" t="s">
        <v>83</v>
      </c>
      <c r="G405" t="s">
        <v>66</v>
      </c>
      <c r="H405" t="s">
        <v>27</v>
      </c>
      <c r="I405" t="s">
        <v>88</v>
      </c>
      <c r="J405" t="s">
        <v>29</v>
      </c>
      <c r="K405" t="s">
        <v>650</v>
      </c>
      <c r="L405">
        <v>5</v>
      </c>
      <c r="M405">
        <v>25999</v>
      </c>
      <c r="N405">
        <v>129995</v>
      </c>
      <c r="O405">
        <v>15</v>
      </c>
      <c r="P405">
        <v>19499.25</v>
      </c>
      <c r="Q405">
        <v>110495.75</v>
      </c>
      <c r="R405" t="s">
        <v>90</v>
      </c>
      <c r="S405" t="s">
        <v>44</v>
      </c>
      <c r="T405">
        <v>8</v>
      </c>
      <c r="U405">
        <v>8839.66</v>
      </c>
    </row>
    <row r="406" spans="1:21" x14ac:dyDescent="0.25">
      <c r="A406" t="s">
        <v>1188</v>
      </c>
      <c r="B406" s="8">
        <v>45797</v>
      </c>
      <c r="C406" t="s">
        <v>63</v>
      </c>
      <c r="D406" t="s">
        <v>1189</v>
      </c>
      <c r="E406" t="s">
        <v>36</v>
      </c>
      <c r="F406" t="s">
        <v>65</v>
      </c>
      <c r="G406" t="s">
        <v>26</v>
      </c>
      <c r="H406" t="s">
        <v>39</v>
      </c>
      <c r="I406" t="s">
        <v>75</v>
      </c>
      <c r="J406" t="s">
        <v>41</v>
      </c>
      <c r="K406" t="s">
        <v>1190</v>
      </c>
      <c r="L406">
        <v>7</v>
      </c>
      <c r="M406">
        <v>8560</v>
      </c>
      <c r="N406">
        <v>59920</v>
      </c>
      <c r="O406">
        <v>20</v>
      </c>
      <c r="P406">
        <v>11984</v>
      </c>
      <c r="Q406">
        <v>47936</v>
      </c>
      <c r="R406" t="s">
        <v>53</v>
      </c>
      <c r="S406" t="s">
        <v>32</v>
      </c>
      <c r="T406">
        <v>28</v>
      </c>
      <c r="U406">
        <v>13422.08</v>
      </c>
    </row>
    <row r="407" spans="1:21" x14ac:dyDescent="0.25">
      <c r="A407" t="s">
        <v>1191</v>
      </c>
      <c r="B407" s="8">
        <v>45883</v>
      </c>
      <c r="C407" t="s">
        <v>92</v>
      </c>
      <c r="D407" t="s">
        <v>144</v>
      </c>
      <c r="E407" t="s">
        <v>24</v>
      </c>
      <c r="F407" t="s">
        <v>65</v>
      </c>
      <c r="G407" t="s">
        <v>66</v>
      </c>
      <c r="H407" t="s">
        <v>27</v>
      </c>
      <c r="I407" t="s">
        <v>50</v>
      </c>
      <c r="J407" t="s">
        <v>41</v>
      </c>
      <c r="K407" t="s">
        <v>1192</v>
      </c>
      <c r="L407">
        <v>7</v>
      </c>
      <c r="M407">
        <v>24633</v>
      </c>
      <c r="N407">
        <v>172431</v>
      </c>
      <c r="O407">
        <v>15</v>
      </c>
      <c r="P407">
        <v>25864.65</v>
      </c>
      <c r="Q407">
        <v>146566.35</v>
      </c>
      <c r="R407" t="s">
        <v>43</v>
      </c>
      <c r="S407" t="s">
        <v>32</v>
      </c>
      <c r="T407">
        <v>13</v>
      </c>
      <c r="U407">
        <v>19053.625499999998</v>
      </c>
    </row>
    <row r="408" spans="1:21" x14ac:dyDescent="0.25">
      <c r="A408" t="s">
        <v>1193</v>
      </c>
      <c r="B408" s="8">
        <v>45707</v>
      </c>
      <c r="C408" t="s">
        <v>92</v>
      </c>
      <c r="D408" t="s">
        <v>1194</v>
      </c>
      <c r="E408" t="s">
        <v>73</v>
      </c>
      <c r="F408" t="s">
        <v>83</v>
      </c>
      <c r="G408" t="s">
        <v>26</v>
      </c>
      <c r="H408" t="s">
        <v>39</v>
      </c>
      <c r="I408" t="s">
        <v>40</v>
      </c>
      <c r="J408" t="s">
        <v>51</v>
      </c>
      <c r="K408" t="s">
        <v>1195</v>
      </c>
      <c r="L408">
        <v>4</v>
      </c>
      <c r="M408">
        <v>18527</v>
      </c>
      <c r="N408">
        <v>74108</v>
      </c>
      <c r="O408">
        <v>0</v>
      </c>
      <c r="P408">
        <v>0</v>
      </c>
      <c r="Q408">
        <v>74108</v>
      </c>
      <c r="R408" t="s">
        <v>90</v>
      </c>
      <c r="S408" t="s">
        <v>32</v>
      </c>
      <c r="T408">
        <v>22</v>
      </c>
      <c r="U408">
        <v>16303.76</v>
      </c>
    </row>
    <row r="409" spans="1:21" x14ac:dyDescent="0.25">
      <c r="A409" t="s">
        <v>1196</v>
      </c>
      <c r="B409" s="8">
        <v>45953</v>
      </c>
      <c r="C409" t="s">
        <v>63</v>
      </c>
      <c r="D409" t="s">
        <v>1197</v>
      </c>
      <c r="E409" t="s">
        <v>36</v>
      </c>
      <c r="F409" t="s">
        <v>83</v>
      </c>
      <c r="G409" t="s">
        <v>38</v>
      </c>
      <c r="H409" t="s">
        <v>57</v>
      </c>
      <c r="I409" t="s">
        <v>40</v>
      </c>
      <c r="J409" t="s">
        <v>41</v>
      </c>
      <c r="K409" t="s">
        <v>1198</v>
      </c>
      <c r="L409">
        <v>1</v>
      </c>
      <c r="M409">
        <v>7336</v>
      </c>
      <c r="N409">
        <v>7336</v>
      </c>
      <c r="O409">
        <v>0</v>
      </c>
      <c r="P409">
        <v>0</v>
      </c>
      <c r="Q409">
        <v>7336</v>
      </c>
      <c r="R409" t="s">
        <v>90</v>
      </c>
      <c r="S409" t="s">
        <v>32</v>
      </c>
      <c r="T409">
        <v>30</v>
      </c>
      <c r="U409">
        <v>2200.8000000000002</v>
      </c>
    </row>
    <row r="410" spans="1:21" x14ac:dyDescent="0.25">
      <c r="A410" t="s">
        <v>1199</v>
      </c>
      <c r="B410" s="8">
        <v>45851</v>
      </c>
      <c r="C410" t="s">
        <v>46</v>
      </c>
      <c r="D410" t="s">
        <v>1200</v>
      </c>
      <c r="E410" t="s">
        <v>73</v>
      </c>
      <c r="F410" t="s">
        <v>25</v>
      </c>
      <c r="G410" t="s">
        <v>38</v>
      </c>
      <c r="H410" t="s">
        <v>39</v>
      </c>
      <c r="I410" t="s">
        <v>50</v>
      </c>
      <c r="J410" t="s">
        <v>41</v>
      </c>
      <c r="K410" t="s">
        <v>1201</v>
      </c>
      <c r="L410">
        <v>9</v>
      </c>
      <c r="M410">
        <v>11582</v>
      </c>
      <c r="N410">
        <v>104238</v>
      </c>
      <c r="O410">
        <v>20</v>
      </c>
      <c r="P410">
        <v>20847.599999999999</v>
      </c>
      <c r="Q410">
        <v>83390.399999999994</v>
      </c>
      <c r="R410" t="s">
        <v>31</v>
      </c>
      <c r="S410" t="s">
        <v>44</v>
      </c>
      <c r="T410">
        <v>13</v>
      </c>
      <c r="U410">
        <v>10840.752</v>
      </c>
    </row>
    <row r="411" spans="1:21" x14ac:dyDescent="0.25">
      <c r="A411" t="s">
        <v>1202</v>
      </c>
      <c r="B411" s="8">
        <v>45879</v>
      </c>
      <c r="C411" t="s">
        <v>120</v>
      </c>
      <c r="D411" t="s">
        <v>357</v>
      </c>
      <c r="E411" t="s">
        <v>36</v>
      </c>
      <c r="F411" t="s">
        <v>49</v>
      </c>
      <c r="G411" t="s">
        <v>26</v>
      </c>
      <c r="H411" t="s">
        <v>27</v>
      </c>
      <c r="I411" t="s">
        <v>75</v>
      </c>
      <c r="J411" t="s">
        <v>78</v>
      </c>
      <c r="K411" t="s">
        <v>1203</v>
      </c>
      <c r="L411">
        <v>3</v>
      </c>
      <c r="M411">
        <v>21986</v>
      </c>
      <c r="N411">
        <v>65958</v>
      </c>
      <c r="O411">
        <v>15</v>
      </c>
      <c r="P411">
        <v>9893.7000000000007</v>
      </c>
      <c r="Q411">
        <v>56064.3</v>
      </c>
      <c r="R411" t="s">
        <v>53</v>
      </c>
      <c r="S411" t="s">
        <v>32</v>
      </c>
      <c r="T411">
        <v>25</v>
      </c>
      <c r="U411">
        <v>14016.075000000001</v>
      </c>
    </row>
    <row r="412" spans="1:21" x14ac:dyDescent="0.25">
      <c r="A412" t="s">
        <v>1204</v>
      </c>
      <c r="B412" s="8">
        <v>45686</v>
      </c>
      <c r="C412" t="s">
        <v>86</v>
      </c>
      <c r="D412" t="s">
        <v>1205</v>
      </c>
      <c r="E412" t="s">
        <v>48</v>
      </c>
      <c r="F412" t="s">
        <v>37</v>
      </c>
      <c r="G412" t="s">
        <v>66</v>
      </c>
      <c r="H412" t="s">
        <v>27</v>
      </c>
      <c r="I412" t="s">
        <v>88</v>
      </c>
      <c r="J412" t="s">
        <v>67</v>
      </c>
      <c r="K412" t="s">
        <v>1206</v>
      </c>
      <c r="L412">
        <v>9</v>
      </c>
      <c r="M412">
        <v>34140</v>
      </c>
      <c r="N412">
        <v>307260</v>
      </c>
      <c r="O412">
        <v>0</v>
      </c>
      <c r="P412">
        <v>0</v>
      </c>
      <c r="Q412">
        <v>307260</v>
      </c>
      <c r="R412" t="s">
        <v>43</v>
      </c>
      <c r="S412" t="s">
        <v>44</v>
      </c>
      <c r="T412">
        <v>16</v>
      </c>
      <c r="U412">
        <v>49161.599999999999</v>
      </c>
    </row>
    <row r="413" spans="1:21" x14ac:dyDescent="0.25">
      <c r="A413" t="s">
        <v>1207</v>
      </c>
      <c r="B413" s="8">
        <v>45914</v>
      </c>
      <c r="C413" t="s">
        <v>147</v>
      </c>
      <c r="D413" t="s">
        <v>1208</v>
      </c>
      <c r="E413" t="s">
        <v>48</v>
      </c>
      <c r="F413" t="s">
        <v>94</v>
      </c>
      <c r="G413" t="s">
        <v>26</v>
      </c>
      <c r="H413" t="s">
        <v>57</v>
      </c>
      <c r="I413" t="s">
        <v>40</v>
      </c>
      <c r="J413" t="s">
        <v>29</v>
      </c>
      <c r="K413" t="s">
        <v>1209</v>
      </c>
      <c r="L413">
        <v>6</v>
      </c>
      <c r="M413">
        <v>47224</v>
      </c>
      <c r="N413">
        <v>283344</v>
      </c>
      <c r="O413">
        <v>5</v>
      </c>
      <c r="P413">
        <v>14167.2</v>
      </c>
      <c r="Q413">
        <v>269176.8</v>
      </c>
      <c r="R413" t="s">
        <v>43</v>
      </c>
      <c r="S413" t="s">
        <v>69</v>
      </c>
      <c r="T413">
        <v>6</v>
      </c>
      <c r="U413">
        <v>16150.608</v>
      </c>
    </row>
    <row r="414" spans="1:21" x14ac:dyDescent="0.25">
      <c r="A414" t="s">
        <v>1210</v>
      </c>
      <c r="B414" s="8">
        <v>45795</v>
      </c>
      <c r="C414" t="s">
        <v>81</v>
      </c>
      <c r="D414" t="s">
        <v>1107</v>
      </c>
      <c r="E414" t="s">
        <v>36</v>
      </c>
      <c r="F414" t="s">
        <v>94</v>
      </c>
      <c r="G414" t="s">
        <v>38</v>
      </c>
      <c r="H414" t="s">
        <v>27</v>
      </c>
      <c r="I414" t="s">
        <v>40</v>
      </c>
      <c r="J414" t="s">
        <v>117</v>
      </c>
      <c r="K414" t="s">
        <v>1211</v>
      </c>
      <c r="L414">
        <v>3</v>
      </c>
      <c r="M414">
        <v>33174</v>
      </c>
      <c r="N414">
        <v>99522</v>
      </c>
      <c r="O414">
        <v>10</v>
      </c>
      <c r="P414">
        <v>9952.2000000000007</v>
      </c>
      <c r="Q414">
        <v>89569.8</v>
      </c>
      <c r="R414" t="s">
        <v>31</v>
      </c>
      <c r="S414" t="s">
        <v>44</v>
      </c>
      <c r="T414">
        <v>29</v>
      </c>
      <c r="U414">
        <v>25975.241999999998</v>
      </c>
    </row>
    <row r="415" spans="1:21" x14ac:dyDescent="0.25">
      <c r="A415" t="s">
        <v>1212</v>
      </c>
      <c r="B415" s="8">
        <v>45942</v>
      </c>
      <c r="C415" t="s">
        <v>86</v>
      </c>
      <c r="D415" t="s">
        <v>898</v>
      </c>
      <c r="E415" t="s">
        <v>24</v>
      </c>
      <c r="F415" t="s">
        <v>94</v>
      </c>
      <c r="G415" t="s">
        <v>66</v>
      </c>
      <c r="H415" t="s">
        <v>27</v>
      </c>
      <c r="I415" t="s">
        <v>101</v>
      </c>
      <c r="J415" t="s">
        <v>29</v>
      </c>
      <c r="K415" t="s">
        <v>1213</v>
      </c>
      <c r="L415">
        <v>4</v>
      </c>
      <c r="M415">
        <v>35279</v>
      </c>
      <c r="N415">
        <v>141116</v>
      </c>
      <c r="O415">
        <v>15</v>
      </c>
      <c r="P415">
        <v>21167.4</v>
      </c>
      <c r="Q415">
        <v>119948.6</v>
      </c>
      <c r="R415" t="s">
        <v>43</v>
      </c>
      <c r="S415" t="s">
        <v>44</v>
      </c>
      <c r="T415">
        <v>18</v>
      </c>
      <c r="U415">
        <v>21590.748</v>
      </c>
    </row>
    <row r="416" spans="1:21" x14ac:dyDescent="0.25">
      <c r="A416" t="s">
        <v>1214</v>
      </c>
      <c r="B416" s="8">
        <v>45821</v>
      </c>
      <c r="C416" t="s">
        <v>147</v>
      </c>
      <c r="D416" t="s">
        <v>1215</v>
      </c>
      <c r="E416" t="s">
        <v>48</v>
      </c>
      <c r="F416" t="s">
        <v>56</v>
      </c>
      <c r="G416" t="s">
        <v>26</v>
      </c>
      <c r="H416" t="s">
        <v>27</v>
      </c>
      <c r="I416" t="s">
        <v>88</v>
      </c>
      <c r="J416" t="s">
        <v>67</v>
      </c>
      <c r="K416" t="s">
        <v>1216</v>
      </c>
      <c r="L416">
        <v>3</v>
      </c>
      <c r="M416">
        <v>3374</v>
      </c>
      <c r="N416">
        <v>10122</v>
      </c>
      <c r="O416">
        <v>15</v>
      </c>
      <c r="P416">
        <v>1518.3</v>
      </c>
      <c r="Q416">
        <v>8603.7000000000007</v>
      </c>
      <c r="R416" t="s">
        <v>31</v>
      </c>
      <c r="S416" t="s">
        <v>32</v>
      </c>
      <c r="T416">
        <v>20</v>
      </c>
      <c r="U416">
        <v>1720.74</v>
      </c>
    </row>
    <row r="417" spans="1:21" x14ac:dyDescent="0.25">
      <c r="A417" t="s">
        <v>1217</v>
      </c>
      <c r="B417" s="8">
        <v>45723</v>
      </c>
      <c r="C417" t="s">
        <v>34</v>
      </c>
      <c r="D417" t="s">
        <v>1218</v>
      </c>
      <c r="E417" t="s">
        <v>73</v>
      </c>
      <c r="F417" t="s">
        <v>65</v>
      </c>
      <c r="G417" t="s">
        <v>66</v>
      </c>
      <c r="H417" t="s">
        <v>27</v>
      </c>
      <c r="I417" t="s">
        <v>28</v>
      </c>
      <c r="J417" t="s">
        <v>29</v>
      </c>
      <c r="K417" t="s">
        <v>1219</v>
      </c>
      <c r="L417">
        <v>4</v>
      </c>
      <c r="M417">
        <v>33085</v>
      </c>
      <c r="N417">
        <v>132340</v>
      </c>
      <c r="O417">
        <v>10</v>
      </c>
      <c r="P417">
        <v>13234</v>
      </c>
      <c r="Q417">
        <v>119106</v>
      </c>
      <c r="R417" t="s">
        <v>43</v>
      </c>
      <c r="S417" t="s">
        <v>69</v>
      </c>
      <c r="T417">
        <v>16</v>
      </c>
      <c r="U417">
        <v>19056.96</v>
      </c>
    </row>
    <row r="418" spans="1:21" x14ac:dyDescent="0.25">
      <c r="A418" t="s">
        <v>1220</v>
      </c>
      <c r="B418" s="8">
        <v>45698</v>
      </c>
      <c r="C418" t="s">
        <v>86</v>
      </c>
      <c r="D418" t="s">
        <v>1221</v>
      </c>
      <c r="E418" t="s">
        <v>24</v>
      </c>
      <c r="F418" t="s">
        <v>65</v>
      </c>
      <c r="G418" t="s">
        <v>66</v>
      </c>
      <c r="H418" t="s">
        <v>57</v>
      </c>
      <c r="I418" t="s">
        <v>101</v>
      </c>
      <c r="J418" t="s">
        <v>51</v>
      </c>
      <c r="K418" t="s">
        <v>1222</v>
      </c>
      <c r="L418">
        <v>6</v>
      </c>
      <c r="M418">
        <v>43126</v>
      </c>
      <c r="N418">
        <v>258756</v>
      </c>
      <c r="O418">
        <v>10</v>
      </c>
      <c r="P418">
        <v>25875.599999999999</v>
      </c>
      <c r="Q418">
        <v>232880.4</v>
      </c>
      <c r="R418" t="s">
        <v>53</v>
      </c>
      <c r="S418" t="s">
        <v>69</v>
      </c>
      <c r="T418">
        <v>23</v>
      </c>
      <c r="U418">
        <v>53562.491999999998</v>
      </c>
    </row>
    <row r="419" spans="1:21" x14ac:dyDescent="0.25">
      <c r="A419" t="s">
        <v>1223</v>
      </c>
      <c r="B419" s="8">
        <v>45823</v>
      </c>
      <c r="C419" t="s">
        <v>120</v>
      </c>
      <c r="D419" t="s">
        <v>1224</v>
      </c>
      <c r="E419" t="s">
        <v>73</v>
      </c>
      <c r="F419" t="s">
        <v>25</v>
      </c>
      <c r="G419" t="s">
        <v>66</v>
      </c>
      <c r="H419" t="s">
        <v>57</v>
      </c>
      <c r="I419" t="s">
        <v>88</v>
      </c>
      <c r="J419" t="s">
        <v>29</v>
      </c>
      <c r="K419" t="s">
        <v>1225</v>
      </c>
      <c r="L419">
        <v>1</v>
      </c>
      <c r="M419">
        <v>752</v>
      </c>
      <c r="N419">
        <v>752</v>
      </c>
      <c r="O419">
        <v>0</v>
      </c>
      <c r="P419">
        <v>0</v>
      </c>
      <c r="Q419">
        <v>752</v>
      </c>
      <c r="R419" t="s">
        <v>90</v>
      </c>
      <c r="S419" t="s">
        <v>69</v>
      </c>
      <c r="T419">
        <v>14</v>
      </c>
      <c r="U419">
        <v>105.28</v>
      </c>
    </row>
    <row r="420" spans="1:21" x14ac:dyDescent="0.25">
      <c r="A420" t="s">
        <v>1226</v>
      </c>
      <c r="B420" s="8">
        <v>45892</v>
      </c>
      <c r="C420" t="s">
        <v>81</v>
      </c>
      <c r="D420" t="s">
        <v>1227</v>
      </c>
      <c r="E420" t="s">
        <v>73</v>
      </c>
      <c r="F420" t="s">
        <v>56</v>
      </c>
      <c r="G420" t="s">
        <v>38</v>
      </c>
      <c r="H420" t="s">
        <v>27</v>
      </c>
      <c r="I420" t="s">
        <v>50</v>
      </c>
      <c r="J420" t="s">
        <v>67</v>
      </c>
      <c r="K420" t="s">
        <v>1228</v>
      </c>
      <c r="L420">
        <v>4</v>
      </c>
      <c r="M420">
        <v>14121</v>
      </c>
      <c r="N420">
        <v>56484</v>
      </c>
      <c r="O420">
        <v>10</v>
      </c>
      <c r="P420">
        <v>5648.4</v>
      </c>
      <c r="Q420">
        <v>50835.6</v>
      </c>
      <c r="R420" t="s">
        <v>43</v>
      </c>
      <c r="S420" t="s">
        <v>69</v>
      </c>
      <c r="T420">
        <v>24</v>
      </c>
      <c r="U420">
        <v>12200.544</v>
      </c>
    </row>
    <row r="421" spans="1:21" x14ac:dyDescent="0.25">
      <c r="A421" t="s">
        <v>1229</v>
      </c>
      <c r="B421" s="8">
        <v>45938</v>
      </c>
      <c r="C421" t="s">
        <v>71</v>
      </c>
      <c r="D421" t="s">
        <v>1230</v>
      </c>
      <c r="E421" t="s">
        <v>48</v>
      </c>
      <c r="F421" t="s">
        <v>25</v>
      </c>
      <c r="G421" t="s">
        <v>66</v>
      </c>
      <c r="H421" t="s">
        <v>57</v>
      </c>
      <c r="I421" t="s">
        <v>28</v>
      </c>
      <c r="J421" t="s">
        <v>67</v>
      </c>
      <c r="K421" t="s">
        <v>1231</v>
      </c>
      <c r="L421">
        <v>1</v>
      </c>
      <c r="M421">
        <v>13737</v>
      </c>
      <c r="N421">
        <v>13737</v>
      </c>
      <c r="O421">
        <v>20</v>
      </c>
      <c r="P421">
        <v>2747.4</v>
      </c>
      <c r="Q421">
        <v>10989.6</v>
      </c>
      <c r="R421" t="s">
        <v>31</v>
      </c>
      <c r="S421" t="s">
        <v>32</v>
      </c>
      <c r="T421">
        <v>7</v>
      </c>
      <c r="U421">
        <v>769.27199999999993</v>
      </c>
    </row>
    <row r="422" spans="1:21" x14ac:dyDescent="0.25">
      <c r="A422" t="s">
        <v>1232</v>
      </c>
      <c r="B422" s="8">
        <v>45945</v>
      </c>
      <c r="C422" t="s">
        <v>34</v>
      </c>
      <c r="D422" t="s">
        <v>160</v>
      </c>
      <c r="E422" t="s">
        <v>24</v>
      </c>
      <c r="F422" t="s">
        <v>25</v>
      </c>
      <c r="G422" t="s">
        <v>38</v>
      </c>
      <c r="H422" t="s">
        <v>27</v>
      </c>
      <c r="I422" t="s">
        <v>101</v>
      </c>
      <c r="J422" t="s">
        <v>41</v>
      </c>
      <c r="K422" t="s">
        <v>1233</v>
      </c>
      <c r="L422">
        <v>2</v>
      </c>
      <c r="M422">
        <v>38220</v>
      </c>
      <c r="N422">
        <v>76440</v>
      </c>
      <c r="O422">
        <v>15</v>
      </c>
      <c r="P422">
        <v>11466</v>
      </c>
      <c r="Q422">
        <v>64974</v>
      </c>
      <c r="R422" t="s">
        <v>31</v>
      </c>
      <c r="S422" t="s">
        <v>44</v>
      </c>
      <c r="T422">
        <v>5</v>
      </c>
      <c r="U422">
        <v>3248.7</v>
      </c>
    </row>
    <row r="423" spans="1:21" x14ac:dyDescent="0.25">
      <c r="A423" t="s">
        <v>1234</v>
      </c>
      <c r="B423" s="8">
        <v>46014</v>
      </c>
      <c r="C423" t="s">
        <v>34</v>
      </c>
      <c r="D423" t="s">
        <v>1235</v>
      </c>
      <c r="E423" t="s">
        <v>48</v>
      </c>
      <c r="F423" t="s">
        <v>65</v>
      </c>
      <c r="G423" t="s">
        <v>26</v>
      </c>
      <c r="H423" t="s">
        <v>27</v>
      </c>
      <c r="I423" t="s">
        <v>40</v>
      </c>
      <c r="J423" t="s">
        <v>78</v>
      </c>
      <c r="K423" t="s">
        <v>1236</v>
      </c>
      <c r="L423">
        <v>3</v>
      </c>
      <c r="M423">
        <v>39307</v>
      </c>
      <c r="N423">
        <v>117921</v>
      </c>
      <c r="O423">
        <v>10</v>
      </c>
      <c r="P423">
        <v>11792.1</v>
      </c>
      <c r="Q423">
        <v>106128.9</v>
      </c>
      <c r="R423" t="s">
        <v>90</v>
      </c>
      <c r="S423" t="s">
        <v>69</v>
      </c>
      <c r="T423">
        <v>21</v>
      </c>
      <c r="U423">
        <v>22287.069</v>
      </c>
    </row>
    <row r="424" spans="1:21" x14ac:dyDescent="0.25">
      <c r="A424" t="s">
        <v>1237</v>
      </c>
      <c r="B424" s="8">
        <v>45877</v>
      </c>
      <c r="C424" t="s">
        <v>81</v>
      </c>
      <c r="D424" t="s">
        <v>252</v>
      </c>
      <c r="E424" t="s">
        <v>24</v>
      </c>
      <c r="F424" t="s">
        <v>56</v>
      </c>
      <c r="G424" t="s">
        <v>38</v>
      </c>
      <c r="H424" t="s">
        <v>27</v>
      </c>
      <c r="I424" t="s">
        <v>50</v>
      </c>
      <c r="J424" t="s">
        <v>41</v>
      </c>
      <c r="K424" t="s">
        <v>1238</v>
      </c>
      <c r="L424">
        <v>2</v>
      </c>
      <c r="M424">
        <v>23687</v>
      </c>
      <c r="N424">
        <v>47374</v>
      </c>
      <c r="O424">
        <v>0</v>
      </c>
      <c r="P424">
        <v>0</v>
      </c>
      <c r="Q424">
        <v>47374</v>
      </c>
      <c r="R424" t="s">
        <v>90</v>
      </c>
      <c r="S424" t="s">
        <v>44</v>
      </c>
      <c r="T424">
        <v>26</v>
      </c>
      <c r="U424">
        <v>12317.24</v>
      </c>
    </row>
    <row r="425" spans="1:21" x14ac:dyDescent="0.25">
      <c r="A425" t="s">
        <v>1239</v>
      </c>
      <c r="B425" s="8">
        <v>45726</v>
      </c>
      <c r="C425" t="s">
        <v>92</v>
      </c>
      <c r="D425" t="s">
        <v>605</v>
      </c>
      <c r="E425" t="s">
        <v>48</v>
      </c>
      <c r="F425" t="s">
        <v>37</v>
      </c>
      <c r="G425" t="s">
        <v>66</v>
      </c>
      <c r="H425" t="s">
        <v>39</v>
      </c>
      <c r="I425" t="s">
        <v>40</v>
      </c>
      <c r="J425" t="s">
        <v>29</v>
      </c>
      <c r="K425" t="s">
        <v>1240</v>
      </c>
      <c r="L425">
        <v>7</v>
      </c>
      <c r="M425">
        <v>23266</v>
      </c>
      <c r="N425">
        <v>162862</v>
      </c>
      <c r="O425">
        <v>0</v>
      </c>
      <c r="P425">
        <v>0</v>
      </c>
      <c r="Q425">
        <v>162862</v>
      </c>
      <c r="R425" t="s">
        <v>53</v>
      </c>
      <c r="S425" t="s">
        <v>32</v>
      </c>
      <c r="T425">
        <v>15</v>
      </c>
      <c r="U425">
        <v>24429.3</v>
      </c>
    </row>
    <row r="426" spans="1:21" x14ac:dyDescent="0.25">
      <c r="A426" t="s">
        <v>1241</v>
      </c>
      <c r="B426" s="8">
        <v>45787</v>
      </c>
      <c r="C426" t="s">
        <v>81</v>
      </c>
      <c r="D426" t="s">
        <v>977</v>
      </c>
      <c r="E426" t="s">
        <v>73</v>
      </c>
      <c r="F426" t="s">
        <v>56</v>
      </c>
      <c r="G426" t="s">
        <v>66</v>
      </c>
      <c r="H426" t="s">
        <v>39</v>
      </c>
      <c r="I426" t="s">
        <v>40</v>
      </c>
      <c r="J426" t="s">
        <v>29</v>
      </c>
      <c r="K426" t="s">
        <v>978</v>
      </c>
      <c r="L426">
        <v>10</v>
      </c>
      <c r="M426">
        <v>28991</v>
      </c>
      <c r="N426">
        <v>289910</v>
      </c>
      <c r="O426">
        <v>15</v>
      </c>
      <c r="P426">
        <v>43486.5</v>
      </c>
      <c r="Q426">
        <v>246423.5</v>
      </c>
      <c r="R426" t="s">
        <v>43</v>
      </c>
      <c r="S426" t="s">
        <v>32</v>
      </c>
      <c r="T426">
        <v>18</v>
      </c>
      <c r="U426">
        <v>44356.23</v>
      </c>
    </row>
    <row r="427" spans="1:21" x14ac:dyDescent="0.25">
      <c r="A427" t="s">
        <v>1242</v>
      </c>
      <c r="B427" s="8">
        <v>45845</v>
      </c>
      <c r="C427" t="s">
        <v>81</v>
      </c>
      <c r="D427" t="s">
        <v>1243</v>
      </c>
      <c r="E427" t="s">
        <v>48</v>
      </c>
      <c r="F427" t="s">
        <v>49</v>
      </c>
      <c r="G427" t="s">
        <v>38</v>
      </c>
      <c r="H427" t="s">
        <v>57</v>
      </c>
      <c r="I427" t="s">
        <v>88</v>
      </c>
      <c r="J427" t="s">
        <v>51</v>
      </c>
      <c r="K427" t="s">
        <v>1244</v>
      </c>
      <c r="L427">
        <v>10</v>
      </c>
      <c r="M427">
        <v>7456</v>
      </c>
      <c r="N427">
        <v>74560</v>
      </c>
      <c r="O427">
        <v>20</v>
      </c>
      <c r="P427">
        <v>14912</v>
      </c>
      <c r="Q427">
        <v>59648</v>
      </c>
      <c r="R427" t="s">
        <v>53</v>
      </c>
      <c r="S427" t="s">
        <v>44</v>
      </c>
      <c r="T427">
        <v>30</v>
      </c>
      <c r="U427">
        <v>17894.400000000001</v>
      </c>
    </row>
    <row r="428" spans="1:21" x14ac:dyDescent="0.25">
      <c r="A428" t="s">
        <v>1245</v>
      </c>
      <c r="B428" s="8">
        <v>45720</v>
      </c>
      <c r="C428" t="s">
        <v>34</v>
      </c>
      <c r="D428" t="s">
        <v>1246</v>
      </c>
      <c r="E428" t="s">
        <v>24</v>
      </c>
      <c r="F428" t="s">
        <v>83</v>
      </c>
      <c r="G428" t="s">
        <v>26</v>
      </c>
      <c r="H428" t="s">
        <v>39</v>
      </c>
      <c r="I428" t="s">
        <v>40</v>
      </c>
      <c r="J428" t="s">
        <v>29</v>
      </c>
      <c r="K428" t="s">
        <v>1247</v>
      </c>
      <c r="L428">
        <v>6</v>
      </c>
      <c r="M428">
        <v>11421</v>
      </c>
      <c r="N428">
        <v>68526</v>
      </c>
      <c r="O428">
        <v>0</v>
      </c>
      <c r="P428">
        <v>0</v>
      </c>
      <c r="Q428">
        <v>68526</v>
      </c>
      <c r="R428" t="s">
        <v>43</v>
      </c>
      <c r="S428" t="s">
        <v>44</v>
      </c>
      <c r="T428">
        <v>10</v>
      </c>
      <c r="U428">
        <v>6852.6</v>
      </c>
    </row>
    <row r="429" spans="1:21" x14ac:dyDescent="0.25">
      <c r="A429" t="s">
        <v>1248</v>
      </c>
      <c r="B429" s="8">
        <v>45726</v>
      </c>
      <c r="C429" t="s">
        <v>120</v>
      </c>
      <c r="D429" t="s">
        <v>1249</v>
      </c>
      <c r="E429" t="s">
        <v>36</v>
      </c>
      <c r="F429" t="s">
        <v>37</v>
      </c>
      <c r="G429" t="s">
        <v>38</v>
      </c>
      <c r="H429" t="s">
        <v>57</v>
      </c>
      <c r="I429" t="s">
        <v>88</v>
      </c>
      <c r="J429" t="s">
        <v>29</v>
      </c>
      <c r="K429" t="s">
        <v>1250</v>
      </c>
      <c r="L429">
        <v>1</v>
      </c>
      <c r="M429">
        <v>10800</v>
      </c>
      <c r="N429">
        <v>10800</v>
      </c>
      <c r="O429">
        <v>0</v>
      </c>
      <c r="P429">
        <v>0</v>
      </c>
      <c r="Q429">
        <v>10800</v>
      </c>
      <c r="R429" t="s">
        <v>53</v>
      </c>
      <c r="S429" t="s">
        <v>69</v>
      </c>
      <c r="T429">
        <v>16</v>
      </c>
      <c r="U429">
        <v>1728</v>
      </c>
    </row>
    <row r="430" spans="1:21" x14ac:dyDescent="0.25">
      <c r="A430" t="s">
        <v>1251</v>
      </c>
      <c r="B430" s="8">
        <v>45787</v>
      </c>
      <c r="C430" t="s">
        <v>86</v>
      </c>
      <c r="D430" t="s">
        <v>791</v>
      </c>
      <c r="E430" t="s">
        <v>48</v>
      </c>
      <c r="F430" t="s">
        <v>65</v>
      </c>
      <c r="G430" t="s">
        <v>26</v>
      </c>
      <c r="H430" t="s">
        <v>39</v>
      </c>
      <c r="I430" t="s">
        <v>101</v>
      </c>
      <c r="J430" t="s">
        <v>78</v>
      </c>
      <c r="K430" t="s">
        <v>1252</v>
      </c>
      <c r="L430">
        <v>3</v>
      </c>
      <c r="M430">
        <v>21009</v>
      </c>
      <c r="N430">
        <v>63027</v>
      </c>
      <c r="O430">
        <v>15</v>
      </c>
      <c r="P430">
        <v>9454.0499999999993</v>
      </c>
      <c r="Q430">
        <v>53572.95</v>
      </c>
      <c r="R430" t="s">
        <v>43</v>
      </c>
      <c r="S430" t="s">
        <v>32</v>
      </c>
      <c r="T430">
        <v>8</v>
      </c>
      <c r="U430">
        <v>4285.8359999999993</v>
      </c>
    </row>
    <row r="431" spans="1:21" x14ac:dyDescent="0.25">
      <c r="A431" t="s">
        <v>1253</v>
      </c>
      <c r="B431" s="8">
        <v>45781</v>
      </c>
      <c r="C431" t="s">
        <v>92</v>
      </c>
      <c r="D431" t="s">
        <v>1254</v>
      </c>
      <c r="E431" t="s">
        <v>36</v>
      </c>
      <c r="F431" t="s">
        <v>37</v>
      </c>
      <c r="G431" t="s">
        <v>38</v>
      </c>
      <c r="H431" t="s">
        <v>27</v>
      </c>
      <c r="I431" t="s">
        <v>75</v>
      </c>
      <c r="J431" t="s">
        <v>67</v>
      </c>
      <c r="K431" t="s">
        <v>1255</v>
      </c>
      <c r="L431">
        <v>10</v>
      </c>
      <c r="M431">
        <v>13167</v>
      </c>
      <c r="N431">
        <v>131670</v>
      </c>
      <c r="O431">
        <v>20</v>
      </c>
      <c r="P431">
        <v>26334</v>
      </c>
      <c r="Q431">
        <v>105336</v>
      </c>
      <c r="R431" t="s">
        <v>90</v>
      </c>
      <c r="S431" t="s">
        <v>44</v>
      </c>
      <c r="T431">
        <v>5</v>
      </c>
      <c r="U431">
        <v>5266.8</v>
      </c>
    </row>
    <row r="432" spans="1:21" x14ac:dyDescent="0.25">
      <c r="A432" t="s">
        <v>1256</v>
      </c>
      <c r="B432" s="8">
        <v>45658</v>
      </c>
      <c r="C432" t="s">
        <v>92</v>
      </c>
      <c r="D432" t="s">
        <v>769</v>
      </c>
      <c r="E432" t="s">
        <v>73</v>
      </c>
      <c r="F432" t="s">
        <v>56</v>
      </c>
      <c r="G432" t="s">
        <v>26</v>
      </c>
      <c r="H432" t="s">
        <v>27</v>
      </c>
      <c r="I432" t="s">
        <v>40</v>
      </c>
      <c r="J432" t="s">
        <v>41</v>
      </c>
      <c r="K432" t="s">
        <v>1257</v>
      </c>
      <c r="L432">
        <v>10</v>
      </c>
      <c r="M432">
        <v>45907</v>
      </c>
      <c r="N432">
        <v>459070</v>
      </c>
      <c r="O432">
        <v>10</v>
      </c>
      <c r="P432">
        <v>45907</v>
      </c>
      <c r="Q432">
        <v>413163</v>
      </c>
      <c r="R432" t="s">
        <v>43</v>
      </c>
      <c r="S432" t="s">
        <v>44</v>
      </c>
      <c r="T432">
        <v>16</v>
      </c>
      <c r="U432">
        <v>66106.080000000002</v>
      </c>
    </row>
    <row r="433" spans="1:21" x14ac:dyDescent="0.25">
      <c r="A433" t="s">
        <v>1258</v>
      </c>
      <c r="B433" s="8">
        <v>45994</v>
      </c>
      <c r="C433" t="s">
        <v>63</v>
      </c>
      <c r="D433" t="s">
        <v>1259</v>
      </c>
      <c r="E433" t="s">
        <v>48</v>
      </c>
      <c r="F433" t="s">
        <v>37</v>
      </c>
      <c r="G433" t="s">
        <v>26</v>
      </c>
      <c r="H433" t="s">
        <v>57</v>
      </c>
      <c r="I433" t="s">
        <v>101</v>
      </c>
      <c r="J433" t="s">
        <v>29</v>
      </c>
      <c r="K433" t="s">
        <v>218</v>
      </c>
      <c r="L433">
        <v>9</v>
      </c>
      <c r="M433">
        <v>7688</v>
      </c>
      <c r="N433">
        <v>69192</v>
      </c>
      <c r="O433">
        <v>5</v>
      </c>
      <c r="P433">
        <v>3459.6</v>
      </c>
      <c r="Q433">
        <v>65732.399999999994</v>
      </c>
      <c r="R433" t="s">
        <v>53</v>
      </c>
      <c r="S433" t="s">
        <v>69</v>
      </c>
      <c r="T433">
        <v>21</v>
      </c>
      <c r="U433">
        <v>13803.804</v>
      </c>
    </row>
    <row r="434" spans="1:21" x14ac:dyDescent="0.25">
      <c r="A434" t="s">
        <v>1260</v>
      </c>
      <c r="B434" s="8">
        <v>45957</v>
      </c>
      <c r="C434" t="s">
        <v>46</v>
      </c>
      <c r="D434" t="s">
        <v>729</v>
      </c>
      <c r="E434" t="s">
        <v>24</v>
      </c>
      <c r="F434" t="s">
        <v>83</v>
      </c>
      <c r="G434" t="s">
        <v>66</v>
      </c>
      <c r="H434" t="s">
        <v>57</v>
      </c>
      <c r="I434" t="s">
        <v>40</v>
      </c>
      <c r="J434" t="s">
        <v>29</v>
      </c>
      <c r="K434" t="s">
        <v>1261</v>
      </c>
      <c r="L434">
        <v>8</v>
      </c>
      <c r="M434">
        <v>3383</v>
      </c>
      <c r="N434">
        <v>27064</v>
      </c>
      <c r="O434">
        <v>5</v>
      </c>
      <c r="P434">
        <v>1353.2</v>
      </c>
      <c r="Q434">
        <v>25710.799999999999</v>
      </c>
      <c r="R434" t="s">
        <v>90</v>
      </c>
      <c r="S434" t="s">
        <v>32</v>
      </c>
      <c r="T434">
        <v>22</v>
      </c>
      <c r="U434">
        <v>5656.3760000000002</v>
      </c>
    </row>
    <row r="435" spans="1:21" x14ac:dyDescent="0.25">
      <c r="A435" t="s">
        <v>1262</v>
      </c>
      <c r="B435" s="8">
        <v>45694</v>
      </c>
      <c r="C435" t="s">
        <v>86</v>
      </c>
      <c r="D435" t="s">
        <v>692</v>
      </c>
      <c r="E435" t="s">
        <v>73</v>
      </c>
      <c r="F435" t="s">
        <v>94</v>
      </c>
      <c r="G435" t="s">
        <v>26</v>
      </c>
      <c r="H435" t="s">
        <v>27</v>
      </c>
      <c r="I435" t="s">
        <v>50</v>
      </c>
      <c r="J435" t="s">
        <v>29</v>
      </c>
      <c r="K435" t="s">
        <v>1190</v>
      </c>
      <c r="L435">
        <v>1</v>
      </c>
      <c r="M435">
        <v>38770</v>
      </c>
      <c r="N435">
        <v>38770</v>
      </c>
      <c r="O435">
        <v>20</v>
      </c>
      <c r="P435">
        <v>7754</v>
      </c>
      <c r="Q435">
        <v>31016</v>
      </c>
      <c r="R435" t="s">
        <v>43</v>
      </c>
      <c r="S435" t="s">
        <v>69</v>
      </c>
      <c r="T435">
        <v>27</v>
      </c>
      <c r="U435">
        <v>8374.32</v>
      </c>
    </row>
    <row r="436" spans="1:21" x14ac:dyDescent="0.25">
      <c r="A436" t="s">
        <v>1263</v>
      </c>
      <c r="B436" s="8">
        <v>46005</v>
      </c>
      <c r="C436" t="s">
        <v>81</v>
      </c>
      <c r="D436" t="s">
        <v>1205</v>
      </c>
      <c r="E436" t="s">
        <v>36</v>
      </c>
      <c r="F436" t="s">
        <v>83</v>
      </c>
      <c r="G436" t="s">
        <v>66</v>
      </c>
      <c r="H436" t="s">
        <v>27</v>
      </c>
      <c r="I436" t="s">
        <v>50</v>
      </c>
      <c r="J436" t="s">
        <v>51</v>
      </c>
      <c r="K436" t="s">
        <v>1264</v>
      </c>
      <c r="L436">
        <v>9</v>
      </c>
      <c r="M436">
        <v>10668</v>
      </c>
      <c r="N436">
        <v>96012</v>
      </c>
      <c r="O436">
        <v>5</v>
      </c>
      <c r="P436">
        <v>4800.6000000000004</v>
      </c>
      <c r="Q436">
        <v>91211.4</v>
      </c>
      <c r="R436" t="s">
        <v>43</v>
      </c>
      <c r="S436" t="s">
        <v>32</v>
      </c>
      <c r="T436">
        <v>26</v>
      </c>
      <c r="U436">
        <v>23714.964</v>
      </c>
    </row>
    <row r="437" spans="1:21" x14ac:dyDescent="0.25">
      <c r="A437" t="s">
        <v>1265</v>
      </c>
      <c r="B437" s="8">
        <v>45918</v>
      </c>
      <c r="C437" t="s">
        <v>22</v>
      </c>
      <c r="D437" t="s">
        <v>892</v>
      </c>
      <c r="E437" t="s">
        <v>36</v>
      </c>
      <c r="F437" t="s">
        <v>56</v>
      </c>
      <c r="G437" t="s">
        <v>38</v>
      </c>
      <c r="H437" t="s">
        <v>39</v>
      </c>
      <c r="I437" t="s">
        <v>88</v>
      </c>
      <c r="J437" t="s">
        <v>78</v>
      </c>
      <c r="K437" t="s">
        <v>1266</v>
      </c>
      <c r="L437">
        <v>3</v>
      </c>
      <c r="M437">
        <v>40472</v>
      </c>
      <c r="N437">
        <v>121416</v>
      </c>
      <c r="O437">
        <v>20</v>
      </c>
      <c r="P437">
        <v>24283.200000000001</v>
      </c>
      <c r="Q437">
        <v>97132.800000000003</v>
      </c>
      <c r="R437" t="s">
        <v>31</v>
      </c>
      <c r="S437" t="s">
        <v>32</v>
      </c>
      <c r="T437">
        <v>15</v>
      </c>
      <c r="U437">
        <v>14569.92</v>
      </c>
    </row>
    <row r="438" spans="1:21" x14ac:dyDescent="0.25">
      <c r="A438" t="s">
        <v>1267</v>
      </c>
      <c r="B438" s="8">
        <v>45986</v>
      </c>
      <c r="C438" t="s">
        <v>81</v>
      </c>
      <c r="D438" t="s">
        <v>501</v>
      </c>
      <c r="E438" t="s">
        <v>36</v>
      </c>
      <c r="F438" t="s">
        <v>65</v>
      </c>
      <c r="G438" t="s">
        <v>66</v>
      </c>
      <c r="H438" t="s">
        <v>27</v>
      </c>
      <c r="I438" t="s">
        <v>75</v>
      </c>
      <c r="J438" t="s">
        <v>67</v>
      </c>
      <c r="K438" t="s">
        <v>1268</v>
      </c>
      <c r="L438">
        <v>3</v>
      </c>
      <c r="M438">
        <v>42006</v>
      </c>
      <c r="N438">
        <v>126018</v>
      </c>
      <c r="O438">
        <v>10</v>
      </c>
      <c r="P438">
        <v>12601.8</v>
      </c>
      <c r="Q438">
        <v>113416.2</v>
      </c>
      <c r="R438" t="s">
        <v>90</v>
      </c>
      <c r="S438" t="s">
        <v>69</v>
      </c>
      <c r="T438">
        <v>16</v>
      </c>
      <c r="U438">
        <v>18146.592000000001</v>
      </c>
    </row>
    <row r="439" spans="1:21" x14ac:dyDescent="0.25">
      <c r="A439" t="s">
        <v>1269</v>
      </c>
      <c r="B439" s="8">
        <v>46019</v>
      </c>
      <c r="C439" t="s">
        <v>71</v>
      </c>
      <c r="D439" t="s">
        <v>1270</v>
      </c>
      <c r="E439" t="s">
        <v>24</v>
      </c>
      <c r="F439" t="s">
        <v>25</v>
      </c>
      <c r="G439" t="s">
        <v>26</v>
      </c>
      <c r="H439" t="s">
        <v>39</v>
      </c>
      <c r="I439" t="s">
        <v>101</v>
      </c>
      <c r="J439" t="s">
        <v>51</v>
      </c>
      <c r="K439" t="s">
        <v>1271</v>
      </c>
      <c r="L439">
        <v>3</v>
      </c>
      <c r="M439">
        <v>14520</v>
      </c>
      <c r="N439">
        <v>43560</v>
      </c>
      <c r="O439">
        <v>10</v>
      </c>
      <c r="P439">
        <v>4356</v>
      </c>
      <c r="Q439">
        <v>39204</v>
      </c>
      <c r="R439" t="s">
        <v>53</v>
      </c>
      <c r="S439" t="s">
        <v>32</v>
      </c>
      <c r="T439">
        <v>28</v>
      </c>
      <c r="U439">
        <v>10977.12</v>
      </c>
    </row>
    <row r="440" spans="1:21" x14ac:dyDescent="0.25">
      <c r="A440" t="s">
        <v>1272</v>
      </c>
      <c r="B440" s="8">
        <v>45765</v>
      </c>
      <c r="C440" t="s">
        <v>92</v>
      </c>
      <c r="D440" t="s">
        <v>1273</v>
      </c>
      <c r="E440" t="s">
        <v>73</v>
      </c>
      <c r="F440" t="s">
        <v>49</v>
      </c>
      <c r="G440" t="s">
        <v>26</v>
      </c>
      <c r="H440" t="s">
        <v>57</v>
      </c>
      <c r="I440" t="s">
        <v>88</v>
      </c>
      <c r="J440" t="s">
        <v>78</v>
      </c>
      <c r="K440" t="s">
        <v>1274</v>
      </c>
      <c r="L440">
        <v>2</v>
      </c>
      <c r="M440">
        <v>35692</v>
      </c>
      <c r="N440">
        <v>71384</v>
      </c>
      <c r="O440">
        <v>0</v>
      </c>
      <c r="P440">
        <v>0</v>
      </c>
      <c r="Q440">
        <v>71384</v>
      </c>
      <c r="R440" t="s">
        <v>31</v>
      </c>
      <c r="S440" t="s">
        <v>32</v>
      </c>
      <c r="T440">
        <v>11</v>
      </c>
      <c r="U440">
        <v>7852.24</v>
      </c>
    </row>
    <row r="441" spans="1:21" x14ac:dyDescent="0.25">
      <c r="A441" t="s">
        <v>1275</v>
      </c>
      <c r="B441" s="8">
        <v>45735</v>
      </c>
      <c r="C441" t="s">
        <v>46</v>
      </c>
      <c r="D441" t="s">
        <v>241</v>
      </c>
      <c r="E441" t="s">
        <v>36</v>
      </c>
      <c r="F441" t="s">
        <v>37</v>
      </c>
      <c r="G441" t="s">
        <v>38</v>
      </c>
      <c r="H441" t="s">
        <v>57</v>
      </c>
      <c r="I441" t="s">
        <v>75</v>
      </c>
      <c r="J441" t="s">
        <v>117</v>
      </c>
      <c r="K441" t="s">
        <v>1276</v>
      </c>
      <c r="L441">
        <v>6</v>
      </c>
      <c r="M441">
        <v>3039</v>
      </c>
      <c r="N441">
        <v>18234</v>
      </c>
      <c r="O441">
        <v>10</v>
      </c>
      <c r="P441">
        <v>1823.4</v>
      </c>
      <c r="Q441">
        <v>16410.599999999999</v>
      </c>
      <c r="R441" t="s">
        <v>31</v>
      </c>
      <c r="S441" t="s">
        <v>44</v>
      </c>
      <c r="T441">
        <v>21</v>
      </c>
      <c r="U441">
        <v>3446.2260000000001</v>
      </c>
    </row>
    <row r="442" spans="1:21" x14ac:dyDescent="0.25">
      <c r="A442" t="s">
        <v>1277</v>
      </c>
      <c r="B442" s="8">
        <v>46012</v>
      </c>
      <c r="C442" t="s">
        <v>46</v>
      </c>
      <c r="D442" t="s">
        <v>1278</v>
      </c>
      <c r="E442" t="s">
        <v>24</v>
      </c>
      <c r="F442" t="s">
        <v>65</v>
      </c>
      <c r="G442" t="s">
        <v>26</v>
      </c>
      <c r="H442" t="s">
        <v>27</v>
      </c>
      <c r="I442" t="s">
        <v>75</v>
      </c>
      <c r="J442" t="s">
        <v>51</v>
      </c>
      <c r="K442" t="s">
        <v>1279</v>
      </c>
      <c r="L442">
        <v>10</v>
      </c>
      <c r="M442">
        <v>47948</v>
      </c>
      <c r="N442">
        <v>479480</v>
      </c>
      <c r="O442">
        <v>20</v>
      </c>
      <c r="P442">
        <v>95896</v>
      </c>
      <c r="Q442">
        <v>383584</v>
      </c>
      <c r="R442" t="s">
        <v>53</v>
      </c>
      <c r="S442" t="s">
        <v>32</v>
      </c>
      <c r="T442">
        <v>16</v>
      </c>
      <c r="U442">
        <v>61373.440000000002</v>
      </c>
    </row>
    <row r="443" spans="1:21" x14ac:dyDescent="0.25">
      <c r="A443" t="s">
        <v>1280</v>
      </c>
      <c r="B443" s="8">
        <v>46006</v>
      </c>
      <c r="C443" t="s">
        <v>34</v>
      </c>
      <c r="D443" t="s">
        <v>72</v>
      </c>
      <c r="E443" t="s">
        <v>24</v>
      </c>
      <c r="F443" t="s">
        <v>56</v>
      </c>
      <c r="G443" t="s">
        <v>38</v>
      </c>
      <c r="H443" t="s">
        <v>39</v>
      </c>
      <c r="I443" t="s">
        <v>28</v>
      </c>
      <c r="J443" t="s">
        <v>67</v>
      </c>
      <c r="K443" t="s">
        <v>1281</v>
      </c>
      <c r="L443">
        <v>10</v>
      </c>
      <c r="M443">
        <v>40710</v>
      </c>
      <c r="N443">
        <v>407100</v>
      </c>
      <c r="O443">
        <v>15</v>
      </c>
      <c r="P443">
        <v>61065</v>
      </c>
      <c r="Q443">
        <v>346035</v>
      </c>
      <c r="R443" t="s">
        <v>90</v>
      </c>
      <c r="S443" t="s">
        <v>44</v>
      </c>
      <c r="T443">
        <v>29</v>
      </c>
      <c r="U443">
        <v>100350.15</v>
      </c>
    </row>
    <row r="444" spans="1:21" x14ac:dyDescent="0.25">
      <c r="A444" t="s">
        <v>1282</v>
      </c>
      <c r="B444" s="8">
        <v>45960</v>
      </c>
      <c r="C444" t="s">
        <v>81</v>
      </c>
      <c r="D444" t="s">
        <v>208</v>
      </c>
      <c r="E444" t="s">
        <v>24</v>
      </c>
      <c r="F444" t="s">
        <v>65</v>
      </c>
      <c r="G444" t="s">
        <v>26</v>
      </c>
      <c r="H444" t="s">
        <v>39</v>
      </c>
      <c r="I444" t="s">
        <v>28</v>
      </c>
      <c r="J444" t="s">
        <v>67</v>
      </c>
      <c r="K444" t="s">
        <v>1283</v>
      </c>
      <c r="L444">
        <v>2</v>
      </c>
      <c r="M444">
        <v>45650</v>
      </c>
      <c r="N444">
        <v>91300</v>
      </c>
      <c r="O444">
        <v>0</v>
      </c>
      <c r="P444">
        <v>0</v>
      </c>
      <c r="Q444">
        <v>91300</v>
      </c>
      <c r="R444" t="s">
        <v>31</v>
      </c>
      <c r="S444" t="s">
        <v>69</v>
      </c>
      <c r="T444">
        <v>24</v>
      </c>
      <c r="U444">
        <v>21912</v>
      </c>
    </row>
    <row r="445" spans="1:21" x14ac:dyDescent="0.25">
      <c r="A445" t="s">
        <v>1284</v>
      </c>
      <c r="B445" s="8">
        <v>45685</v>
      </c>
      <c r="C445" t="s">
        <v>86</v>
      </c>
      <c r="D445" t="s">
        <v>1285</v>
      </c>
      <c r="E445" t="s">
        <v>24</v>
      </c>
      <c r="F445" t="s">
        <v>83</v>
      </c>
      <c r="G445" t="s">
        <v>38</v>
      </c>
      <c r="H445" t="s">
        <v>39</v>
      </c>
      <c r="I445" t="s">
        <v>28</v>
      </c>
      <c r="J445" t="s">
        <v>51</v>
      </c>
      <c r="K445" t="s">
        <v>1286</v>
      </c>
      <c r="L445">
        <v>6</v>
      </c>
      <c r="M445">
        <v>27250</v>
      </c>
      <c r="N445">
        <v>163500</v>
      </c>
      <c r="O445">
        <v>20</v>
      </c>
      <c r="P445">
        <v>32700</v>
      </c>
      <c r="Q445">
        <v>130800</v>
      </c>
      <c r="R445" t="s">
        <v>53</v>
      </c>
      <c r="S445" t="s">
        <v>44</v>
      </c>
      <c r="T445">
        <v>29</v>
      </c>
      <c r="U445">
        <v>37932</v>
      </c>
    </row>
    <row r="446" spans="1:21" x14ac:dyDescent="0.25">
      <c r="A446" t="s">
        <v>1287</v>
      </c>
      <c r="B446" s="8">
        <v>46001</v>
      </c>
      <c r="C446" t="s">
        <v>63</v>
      </c>
      <c r="D446" t="s">
        <v>1137</v>
      </c>
      <c r="E446" t="s">
        <v>73</v>
      </c>
      <c r="F446" t="s">
        <v>25</v>
      </c>
      <c r="G446" t="s">
        <v>26</v>
      </c>
      <c r="H446" t="s">
        <v>27</v>
      </c>
      <c r="I446" t="s">
        <v>101</v>
      </c>
      <c r="J446" t="s">
        <v>29</v>
      </c>
      <c r="K446" t="s">
        <v>1288</v>
      </c>
      <c r="L446">
        <v>4</v>
      </c>
      <c r="M446">
        <v>20111</v>
      </c>
      <c r="N446">
        <v>80444</v>
      </c>
      <c r="O446">
        <v>0</v>
      </c>
      <c r="P446">
        <v>0</v>
      </c>
      <c r="Q446">
        <v>80444</v>
      </c>
      <c r="R446" t="s">
        <v>90</v>
      </c>
      <c r="S446" t="s">
        <v>69</v>
      </c>
      <c r="T446">
        <v>14</v>
      </c>
      <c r="U446">
        <v>11262.16</v>
      </c>
    </row>
    <row r="447" spans="1:21" x14ac:dyDescent="0.25">
      <c r="A447" t="s">
        <v>1289</v>
      </c>
      <c r="B447" s="8">
        <v>45739</v>
      </c>
      <c r="C447" t="s">
        <v>86</v>
      </c>
      <c r="D447" t="s">
        <v>351</v>
      </c>
      <c r="E447" t="s">
        <v>36</v>
      </c>
      <c r="F447" t="s">
        <v>94</v>
      </c>
      <c r="G447" t="s">
        <v>66</v>
      </c>
      <c r="H447" t="s">
        <v>39</v>
      </c>
      <c r="I447" t="s">
        <v>28</v>
      </c>
      <c r="J447" t="s">
        <v>117</v>
      </c>
      <c r="K447" t="s">
        <v>1290</v>
      </c>
      <c r="L447">
        <v>3</v>
      </c>
      <c r="M447">
        <v>14283</v>
      </c>
      <c r="N447">
        <v>42849</v>
      </c>
      <c r="O447">
        <v>15</v>
      </c>
      <c r="P447">
        <v>6427.35</v>
      </c>
      <c r="Q447">
        <v>36421.65</v>
      </c>
      <c r="R447" t="s">
        <v>90</v>
      </c>
      <c r="S447" t="s">
        <v>69</v>
      </c>
      <c r="T447">
        <v>21</v>
      </c>
      <c r="U447">
        <v>7648.5465000000004</v>
      </c>
    </row>
    <row r="448" spans="1:21" x14ac:dyDescent="0.25">
      <c r="A448" t="s">
        <v>1291</v>
      </c>
      <c r="B448" s="8">
        <v>45682</v>
      </c>
      <c r="C448" t="s">
        <v>46</v>
      </c>
      <c r="D448" t="s">
        <v>1292</v>
      </c>
      <c r="E448" t="s">
        <v>36</v>
      </c>
      <c r="F448" t="s">
        <v>65</v>
      </c>
      <c r="G448" t="s">
        <v>38</v>
      </c>
      <c r="H448" t="s">
        <v>39</v>
      </c>
      <c r="I448" t="s">
        <v>40</v>
      </c>
      <c r="J448" t="s">
        <v>41</v>
      </c>
      <c r="K448" t="s">
        <v>1293</v>
      </c>
      <c r="L448">
        <v>6</v>
      </c>
      <c r="M448">
        <v>30975</v>
      </c>
      <c r="N448">
        <v>185850</v>
      </c>
      <c r="O448">
        <v>20</v>
      </c>
      <c r="P448">
        <v>37170</v>
      </c>
      <c r="Q448">
        <v>148680</v>
      </c>
      <c r="R448" t="s">
        <v>43</v>
      </c>
      <c r="S448" t="s">
        <v>44</v>
      </c>
      <c r="T448">
        <v>14</v>
      </c>
      <c r="U448">
        <v>20815.2</v>
      </c>
    </row>
    <row r="449" spans="1:21" x14ac:dyDescent="0.25">
      <c r="A449" t="s">
        <v>1294</v>
      </c>
      <c r="B449" s="8">
        <v>45922</v>
      </c>
      <c r="C449" t="s">
        <v>120</v>
      </c>
      <c r="D449" t="s">
        <v>562</v>
      </c>
      <c r="E449" t="s">
        <v>48</v>
      </c>
      <c r="F449" t="s">
        <v>94</v>
      </c>
      <c r="G449" t="s">
        <v>26</v>
      </c>
      <c r="H449" t="s">
        <v>39</v>
      </c>
      <c r="I449" t="s">
        <v>75</v>
      </c>
      <c r="J449" t="s">
        <v>78</v>
      </c>
      <c r="K449" t="s">
        <v>1295</v>
      </c>
      <c r="L449">
        <v>1</v>
      </c>
      <c r="M449">
        <v>8169</v>
      </c>
      <c r="N449">
        <v>8169</v>
      </c>
      <c r="O449">
        <v>15</v>
      </c>
      <c r="P449">
        <v>1225.3499999999999</v>
      </c>
      <c r="Q449">
        <v>6943.65</v>
      </c>
      <c r="R449" t="s">
        <v>43</v>
      </c>
      <c r="S449" t="s">
        <v>44</v>
      </c>
      <c r="T449">
        <v>26</v>
      </c>
      <c r="U449">
        <v>1805.3489999999999</v>
      </c>
    </row>
    <row r="450" spans="1:21" x14ac:dyDescent="0.25">
      <c r="A450" t="s">
        <v>1296</v>
      </c>
      <c r="B450" s="8">
        <v>45826</v>
      </c>
      <c r="C450" t="s">
        <v>46</v>
      </c>
      <c r="D450" t="s">
        <v>113</v>
      </c>
      <c r="E450" t="s">
        <v>36</v>
      </c>
      <c r="F450" t="s">
        <v>74</v>
      </c>
      <c r="G450" t="s">
        <v>26</v>
      </c>
      <c r="H450" t="s">
        <v>57</v>
      </c>
      <c r="I450" t="s">
        <v>28</v>
      </c>
      <c r="J450" t="s">
        <v>67</v>
      </c>
      <c r="K450" t="s">
        <v>1297</v>
      </c>
      <c r="L450">
        <v>3</v>
      </c>
      <c r="M450">
        <v>22588</v>
      </c>
      <c r="N450">
        <v>67764</v>
      </c>
      <c r="O450">
        <v>20</v>
      </c>
      <c r="P450">
        <v>13552.8</v>
      </c>
      <c r="Q450">
        <v>54211.199999999997</v>
      </c>
      <c r="R450" t="s">
        <v>31</v>
      </c>
      <c r="S450" t="s">
        <v>44</v>
      </c>
      <c r="T450">
        <v>21</v>
      </c>
      <c r="U450">
        <v>11384.352000000001</v>
      </c>
    </row>
    <row r="451" spans="1:21" x14ac:dyDescent="0.25">
      <c r="A451" t="s">
        <v>1298</v>
      </c>
      <c r="B451" s="8">
        <v>45843</v>
      </c>
      <c r="C451" t="s">
        <v>86</v>
      </c>
      <c r="D451" t="s">
        <v>923</v>
      </c>
      <c r="E451" t="s">
        <v>48</v>
      </c>
      <c r="F451" t="s">
        <v>49</v>
      </c>
      <c r="G451" t="s">
        <v>26</v>
      </c>
      <c r="H451" t="s">
        <v>27</v>
      </c>
      <c r="I451" t="s">
        <v>28</v>
      </c>
      <c r="J451" t="s">
        <v>51</v>
      </c>
      <c r="K451" t="s">
        <v>1299</v>
      </c>
      <c r="L451">
        <v>5</v>
      </c>
      <c r="M451">
        <v>13028</v>
      </c>
      <c r="N451">
        <v>65140</v>
      </c>
      <c r="O451">
        <v>15</v>
      </c>
      <c r="P451">
        <v>9771</v>
      </c>
      <c r="Q451">
        <v>55369</v>
      </c>
      <c r="R451" t="s">
        <v>43</v>
      </c>
      <c r="S451" t="s">
        <v>69</v>
      </c>
      <c r="T451">
        <v>20</v>
      </c>
      <c r="U451">
        <v>11073.8</v>
      </c>
    </row>
    <row r="452" spans="1:21" x14ac:dyDescent="0.25">
      <c r="A452" t="s">
        <v>1300</v>
      </c>
      <c r="B452" s="8">
        <v>45955</v>
      </c>
      <c r="C452" t="s">
        <v>71</v>
      </c>
      <c r="D452" t="s">
        <v>1301</v>
      </c>
      <c r="E452" t="s">
        <v>48</v>
      </c>
      <c r="F452" t="s">
        <v>49</v>
      </c>
      <c r="G452" t="s">
        <v>38</v>
      </c>
      <c r="H452" t="s">
        <v>39</v>
      </c>
      <c r="I452" t="s">
        <v>101</v>
      </c>
      <c r="J452" t="s">
        <v>29</v>
      </c>
      <c r="K452" t="s">
        <v>1302</v>
      </c>
      <c r="L452">
        <v>7</v>
      </c>
      <c r="M452">
        <v>38380</v>
      </c>
      <c r="N452">
        <v>268660</v>
      </c>
      <c r="O452">
        <v>10</v>
      </c>
      <c r="P452">
        <v>26866</v>
      </c>
      <c r="Q452">
        <v>241794</v>
      </c>
      <c r="R452" t="s">
        <v>53</v>
      </c>
      <c r="S452" t="s">
        <v>69</v>
      </c>
      <c r="T452">
        <v>28</v>
      </c>
      <c r="U452">
        <v>67702.320000000007</v>
      </c>
    </row>
    <row r="453" spans="1:21" x14ac:dyDescent="0.25">
      <c r="A453" t="s">
        <v>1303</v>
      </c>
      <c r="B453" s="8">
        <v>45880</v>
      </c>
      <c r="C453" t="s">
        <v>46</v>
      </c>
      <c r="D453" t="s">
        <v>1304</v>
      </c>
      <c r="E453" t="s">
        <v>48</v>
      </c>
      <c r="F453" t="s">
        <v>37</v>
      </c>
      <c r="G453" t="s">
        <v>38</v>
      </c>
      <c r="H453" t="s">
        <v>57</v>
      </c>
      <c r="I453" t="s">
        <v>101</v>
      </c>
      <c r="J453" t="s">
        <v>29</v>
      </c>
      <c r="K453" t="s">
        <v>1305</v>
      </c>
      <c r="L453">
        <v>3</v>
      </c>
      <c r="M453">
        <v>6181</v>
      </c>
      <c r="N453">
        <v>18543</v>
      </c>
      <c r="O453">
        <v>10</v>
      </c>
      <c r="P453">
        <v>1854.3</v>
      </c>
      <c r="Q453">
        <v>16688.7</v>
      </c>
      <c r="R453" t="s">
        <v>31</v>
      </c>
      <c r="S453" t="s">
        <v>32</v>
      </c>
      <c r="T453">
        <v>12</v>
      </c>
      <c r="U453">
        <v>2002.644</v>
      </c>
    </row>
    <row r="454" spans="1:21" x14ac:dyDescent="0.25">
      <c r="A454" t="s">
        <v>1306</v>
      </c>
      <c r="B454" s="8">
        <v>46019</v>
      </c>
      <c r="C454" t="s">
        <v>63</v>
      </c>
      <c r="D454" t="s">
        <v>1307</v>
      </c>
      <c r="E454" t="s">
        <v>73</v>
      </c>
      <c r="F454" t="s">
        <v>65</v>
      </c>
      <c r="G454" t="s">
        <v>38</v>
      </c>
      <c r="H454" t="s">
        <v>57</v>
      </c>
      <c r="I454" t="s">
        <v>101</v>
      </c>
      <c r="J454" t="s">
        <v>117</v>
      </c>
      <c r="K454" t="s">
        <v>1308</v>
      </c>
      <c r="L454">
        <v>5</v>
      </c>
      <c r="M454">
        <v>32382</v>
      </c>
      <c r="N454">
        <v>161910</v>
      </c>
      <c r="O454">
        <v>0</v>
      </c>
      <c r="P454">
        <v>0</v>
      </c>
      <c r="Q454">
        <v>161910</v>
      </c>
      <c r="R454" t="s">
        <v>90</v>
      </c>
      <c r="S454" t="s">
        <v>69</v>
      </c>
      <c r="T454">
        <v>26</v>
      </c>
      <c r="U454">
        <v>42096.6</v>
      </c>
    </row>
    <row r="455" spans="1:21" x14ac:dyDescent="0.25">
      <c r="A455" t="s">
        <v>1309</v>
      </c>
      <c r="B455" s="8">
        <v>45948</v>
      </c>
      <c r="C455" t="s">
        <v>63</v>
      </c>
      <c r="D455" t="s">
        <v>1310</v>
      </c>
      <c r="E455" t="s">
        <v>36</v>
      </c>
      <c r="F455" t="s">
        <v>25</v>
      </c>
      <c r="G455" t="s">
        <v>66</v>
      </c>
      <c r="H455" t="s">
        <v>27</v>
      </c>
      <c r="I455" t="s">
        <v>88</v>
      </c>
      <c r="J455" t="s">
        <v>29</v>
      </c>
      <c r="K455" t="s">
        <v>1311</v>
      </c>
      <c r="L455">
        <v>4</v>
      </c>
      <c r="M455">
        <v>23301</v>
      </c>
      <c r="N455">
        <v>93204</v>
      </c>
      <c r="O455">
        <v>0</v>
      </c>
      <c r="P455">
        <v>0</v>
      </c>
      <c r="Q455">
        <v>93204</v>
      </c>
      <c r="R455" t="s">
        <v>90</v>
      </c>
      <c r="S455" t="s">
        <v>44</v>
      </c>
      <c r="T455">
        <v>16</v>
      </c>
      <c r="U455">
        <v>14912.64</v>
      </c>
    </row>
    <row r="456" spans="1:21" x14ac:dyDescent="0.25">
      <c r="A456" t="s">
        <v>1312</v>
      </c>
      <c r="B456" s="8">
        <v>45694</v>
      </c>
      <c r="C456" t="s">
        <v>86</v>
      </c>
      <c r="D456" t="s">
        <v>1313</v>
      </c>
      <c r="E456" t="s">
        <v>24</v>
      </c>
      <c r="F456" t="s">
        <v>74</v>
      </c>
      <c r="G456" t="s">
        <v>66</v>
      </c>
      <c r="H456" t="s">
        <v>57</v>
      </c>
      <c r="I456" t="s">
        <v>101</v>
      </c>
      <c r="J456" t="s">
        <v>117</v>
      </c>
      <c r="K456" t="s">
        <v>1314</v>
      </c>
      <c r="L456">
        <v>9</v>
      </c>
      <c r="M456">
        <v>22487</v>
      </c>
      <c r="N456">
        <v>202383</v>
      </c>
      <c r="O456">
        <v>15</v>
      </c>
      <c r="P456">
        <v>30357.45</v>
      </c>
      <c r="Q456">
        <v>172025.55</v>
      </c>
      <c r="R456" t="s">
        <v>90</v>
      </c>
      <c r="S456" t="s">
        <v>44</v>
      </c>
      <c r="T456">
        <v>17</v>
      </c>
      <c r="U456">
        <v>29244.343499999999</v>
      </c>
    </row>
    <row r="457" spans="1:21" x14ac:dyDescent="0.25">
      <c r="A457" t="s">
        <v>1315</v>
      </c>
      <c r="B457" s="8">
        <v>45789</v>
      </c>
      <c r="C457" t="s">
        <v>86</v>
      </c>
      <c r="D457" t="s">
        <v>1316</v>
      </c>
      <c r="E457" t="s">
        <v>48</v>
      </c>
      <c r="F457" t="s">
        <v>74</v>
      </c>
      <c r="G457" t="s">
        <v>26</v>
      </c>
      <c r="H457" t="s">
        <v>27</v>
      </c>
      <c r="I457" t="s">
        <v>101</v>
      </c>
      <c r="J457" t="s">
        <v>51</v>
      </c>
      <c r="K457" t="s">
        <v>1317</v>
      </c>
      <c r="L457">
        <v>2</v>
      </c>
      <c r="M457">
        <v>43882</v>
      </c>
      <c r="N457">
        <v>87764</v>
      </c>
      <c r="O457">
        <v>5</v>
      </c>
      <c r="P457">
        <v>4388.2</v>
      </c>
      <c r="Q457">
        <v>83375.8</v>
      </c>
      <c r="R457" t="s">
        <v>53</v>
      </c>
      <c r="S457" t="s">
        <v>69</v>
      </c>
      <c r="T457">
        <v>7</v>
      </c>
      <c r="U457">
        <v>5836.3059999999996</v>
      </c>
    </row>
    <row r="458" spans="1:21" x14ac:dyDescent="0.25">
      <c r="A458" t="s">
        <v>1318</v>
      </c>
      <c r="B458" s="8">
        <v>45856</v>
      </c>
      <c r="C458" t="s">
        <v>81</v>
      </c>
      <c r="D458" t="s">
        <v>321</v>
      </c>
      <c r="E458" t="s">
        <v>48</v>
      </c>
      <c r="F458" t="s">
        <v>37</v>
      </c>
      <c r="G458" t="s">
        <v>26</v>
      </c>
      <c r="H458" t="s">
        <v>39</v>
      </c>
      <c r="I458" t="s">
        <v>101</v>
      </c>
      <c r="J458" t="s">
        <v>29</v>
      </c>
      <c r="K458" t="s">
        <v>1319</v>
      </c>
      <c r="L458">
        <v>1</v>
      </c>
      <c r="M458">
        <v>15426</v>
      </c>
      <c r="N458">
        <v>15426</v>
      </c>
      <c r="O458">
        <v>15</v>
      </c>
      <c r="P458">
        <v>2313.9</v>
      </c>
      <c r="Q458">
        <v>13112.1</v>
      </c>
      <c r="R458" t="s">
        <v>53</v>
      </c>
      <c r="S458" t="s">
        <v>32</v>
      </c>
      <c r="T458">
        <v>8</v>
      </c>
      <c r="U458">
        <v>1048.9680000000001</v>
      </c>
    </row>
    <row r="459" spans="1:21" x14ac:dyDescent="0.25">
      <c r="A459" t="s">
        <v>1320</v>
      </c>
      <c r="B459" s="8">
        <v>45787</v>
      </c>
      <c r="C459" t="s">
        <v>120</v>
      </c>
      <c r="D459" t="s">
        <v>211</v>
      </c>
      <c r="E459" t="s">
        <v>48</v>
      </c>
      <c r="F459" t="s">
        <v>56</v>
      </c>
      <c r="G459" t="s">
        <v>66</v>
      </c>
      <c r="H459" t="s">
        <v>57</v>
      </c>
      <c r="I459" t="s">
        <v>101</v>
      </c>
      <c r="J459" t="s">
        <v>41</v>
      </c>
      <c r="K459" t="s">
        <v>1321</v>
      </c>
      <c r="L459">
        <v>4</v>
      </c>
      <c r="M459">
        <v>18181</v>
      </c>
      <c r="N459">
        <v>72724</v>
      </c>
      <c r="O459">
        <v>0</v>
      </c>
      <c r="P459">
        <v>0</v>
      </c>
      <c r="Q459">
        <v>72724</v>
      </c>
      <c r="R459" t="s">
        <v>90</v>
      </c>
      <c r="S459" t="s">
        <v>69</v>
      </c>
      <c r="T459">
        <v>23</v>
      </c>
      <c r="U459">
        <v>16726.52</v>
      </c>
    </row>
    <row r="460" spans="1:21" x14ac:dyDescent="0.25">
      <c r="A460" t="s">
        <v>1322</v>
      </c>
      <c r="B460" s="8">
        <v>45908</v>
      </c>
      <c r="C460" t="s">
        <v>81</v>
      </c>
      <c r="D460" t="s">
        <v>1323</v>
      </c>
      <c r="E460" t="s">
        <v>36</v>
      </c>
      <c r="F460" t="s">
        <v>94</v>
      </c>
      <c r="G460" t="s">
        <v>38</v>
      </c>
      <c r="H460" t="s">
        <v>27</v>
      </c>
      <c r="I460" t="s">
        <v>75</v>
      </c>
      <c r="J460" t="s">
        <v>41</v>
      </c>
      <c r="K460" t="s">
        <v>1324</v>
      </c>
      <c r="L460">
        <v>5</v>
      </c>
      <c r="M460">
        <v>26640</v>
      </c>
      <c r="N460">
        <v>133200</v>
      </c>
      <c r="O460">
        <v>10</v>
      </c>
      <c r="P460">
        <v>13320</v>
      </c>
      <c r="Q460">
        <v>119880</v>
      </c>
      <c r="R460" t="s">
        <v>90</v>
      </c>
      <c r="S460" t="s">
        <v>69</v>
      </c>
      <c r="T460">
        <v>11</v>
      </c>
      <c r="U460">
        <v>13186.8</v>
      </c>
    </row>
    <row r="461" spans="1:21" x14ac:dyDescent="0.25">
      <c r="A461" t="s">
        <v>1325</v>
      </c>
      <c r="B461" s="8">
        <v>45762</v>
      </c>
      <c r="C461" t="s">
        <v>46</v>
      </c>
      <c r="D461" t="s">
        <v>1326</v>
      </c>
      <c r="E461" t="s">
        <v>73</v>
      </c>
      <c r="F461" t="s">
        <v>74</v>
      </c>
      <c r="G461" t="s">
        <v>26</v>
      </c>
      <c r="H461" t="s">
        <v>57</v>
      </c>
      <c r="I461" t="s">
        <v>75</v>
      </c>
      <c r="J461" t="s">
        <v>78</v>
      </c>
      <c r="K461" t="s">
        <v>1327</v>
      </c>
      <c r="L461">
        <v>9</v>
      </c>
      <c r="M461">
        <v>2616</v>
      </c>
      <c r="N461">
        <v>23544</v>
      </c>
      <c r="O461">
        <v>15</v>
      </c>
      <c r="P461">
        <v>3531.6</v>
      </c>
      <c r="Q461">
        <v>20012.400000000001</v>
      </c>
      <c r="R461" t="s">
        <v>53</v>
      </c>
      <c r="S461" t="s">
        <v>32</v>
      </c>
      <c r="T461">
        <v>24</v>
      </c>
      <c r="U461">
        <v>4802.9760000000006</v>
      </c>
    </row>
    <row r="462" spans="1:21" x14ac:dyDescent="0.25">
      <c r="A462" t="s">
        <v>1328</v>
      </c>
      <c r="B462" s="8">
        <v>45789</v>
      </c>
      <c r="C462" t="s">
        <v>71</v>
      </c>
      <c r="D462" t="s">
        <v>291</v>
      </c>
      <c r="E462" t="s">
        <v>24</v>
      </c>
      <c r="F462" t="s">
        <v>94</v>
      </c>
      <c r="G462" t="s">
        <v>38</v>
      </c>
      <c r="H462" t="s">
        <v>57</v>
      </c>
      <c r="I462" t="s">
        <v>50</v>
      </c>
      <c r="J462" t="s">
        <v>41</v>
      </c>
      <c r="K462" t="s">
        <v>1329</v>
      </c>
      <c r="L462">
        <v>10</v>
      </c>
      <c r="M462">
        <v>17385</v>
      </c>
      <c r="N462">
        <v>173850</v>
      </c>
      <c r="O462">
        <v>5</v>
      </c>
      <c r="P462">
        <v>8692.5</v>
      </c>
      <c r="Q462">
        <v>165157.5</v>
      </c>
      <c r="R462" t="s">
        <v>90</v>
      </c>
      <c r="S462" t="s">
        <v>32</v>
      </c>
      <c r="T462">
        <v>17</v>
      </c>
      <c r="U462">
        <v>28076.775000000001</v>
      </c>
    </row>
    <row r="463" spans="1:21" x14ac:dyDescent="0.25">
      <c r="A463" t="s">
        <v>1330</v>
      </c>
      <c r="B463" s="8">
        <v>45911</v>
      </c>
      <c r="C463" t="s">
        <v>71</v>
      </c>
      <c r="D463" t="s">
        <v>1331</v>
      </c>
      <c r="E463" t="s">
        <v>48</v>
      </c>
      <c r="F463" t="s">
        <v>49</v>
      </c>
      <c r="G463" t="s">
        <v>26</v>
      </c>
      <c r="H463" t="s">
        <v>27</v>
      </c>
      <c r="I463" t="s">
        <v>28</v>
      </c>
      <c r="J463" t="s">
        <v>117</v>
      </c>
      <c r="K463" t="s">
        <v>1332</v>
      </c>
      <c r="L463">
        <v>8</v>
      </c>
      <c r="M463">
        <v>10281</v>
      </c>
      <c r="N463">
        <v>82248</v>
      </c>
      <c r="O463">
        <v>0</v>
      </c>
      <c r="P463">
        <v>0</v>
      </c>
      <c r="Q463">
        <v>82248</v>
      </c>
      <c r="R463" t="s">
        <v>31</v>
      </c>
      <c r="S463" t="s">
        <v>32</v>
      </c>
      <c r="T463">
        <v>28</v>
      </c>
      <c r="U463">
        <v>23029.439999999999</v>
      </c>
    </row>
    <row r="464" spans="1:21" x14ac:dyDescent="0.25">
      <c r="A464" t="s">
        <v>1333</v>
      </c>
      <c r="B464" s="8">
        <v>45844</v>
      </c>
      <c r="C464" t="s">
        <v>22</v>
      </c>
      <c r="D464" t="s">
        <v>1334</v>
      </c>
      <c r="E464" t="s">
        <v>48</v>
      </c>
      <c r="F464" t="s">
        <v>25</v>
      </c>
      <c r="G464" t="s">
        <v>26</v>
      </c>
      <c r="H464" t="s">
        <v>27</v>
      </c>
      <c r="I464" t="s">
        <v>50</v>
      </c>
      <c r="J464" t="s">
        <v>29</v>
      </c>
      <c r="K464" t="s">
        <v>1335</v>
      </c>
      <c r="L464">
        <v>3</v>
      </c>
      <c r="M464">
        <v>9644</v>
      </c>
      <c r="N464">
        <v>28932</v>
      </c>
      <c r="O464">
        <v>15</v>
      </c>
      <c r="P464">
        <v>4339.8</v>
      </c>
      <c r="Q464">
        <v>24592.2</v>
      </c>
      <c r="R464" t="s">
        <v>90</v>
      </c>
      <c r="S464" t="s">
        <v>32</v>
      </c>
      <c r="T464">
        <v>27</v>
      </c>
      <c r="U464">
        <v>6639.8940000000002</v>
      </c>
    </row>
    <row r="465" spans="1:21" x14ac:dyDescent="0.25">
      <c r="A465" t="s">
        <v>1336</v>
      </c>
      <c r="B465" s="8">
        <v>45957</v>
      </c>
      <c r="C465" t="s">
        <v>92</v>
      </c>
      <c r="D465" t="s">
        <v>1337</v>
      </c>
      <c r="E465" t="s">
        <v>73</v>
      </c>
      <c r="F465" t="s">
        <v>94</v>
      </c>
      <c r="G465" t="s">
        <v>66</v>
      </c>
      <c r="H465" t="s">
        <v>39</v>
      </c>
      <c r="I465" t="s">
        <v>101</v>
      </c>
      <c r="J465" t="s">
        <v>78</v>
      </c>
      <c r="K465" t="s">
        <v>1338</v>
      </c>
      <c r="L465">
        <v>6</v>
      </c>
      <c r="M465">
        <v>35783</v>
      </c>
      <c r="N465">
        <v>214698</v>
      </c>
      <c r="O465">
        <v>5</v>
      </c>
      <c r="P465">
        <v>10734.9</v>
      </c>
      <c r="Q465">
        <v>203963.1</v>
      </c>
      <c r="R465" t="s">
        <v>90</v>
      </c>
      <c r="S465" t="s">
        <v>44</v>
      </c>
      <c r="T465">
        <v>27</v>
      </c>
      <c r="U465">
        <v>55070.036999999997</v>
      </c>
    </row>
    <row r="466" spans="1:21" x14ac:dyDescent="0.25">
      <c r="A466" t="s">
        <v>1339</v>
      </c>
      <c r="B466" s="8">
        <v>45702</v>
      </c>
      <c r="C466" t="s">
        <v>92</v>
      </c>
      <c r="D466" t="s">
        <v>1019</v>
      </c>
      <c r="E466" t="s">
        <v>48</v>
      </c>
      <c r="F466" t="s">
        <v>74</v>
      </c>
      <c r="G466" t="s">
        <v>26</v>
      </c>
      <c r="H466" t="s">
        <v>57</v>
      </c>
      <c r="I466" t="s">
        <v>40</v>
      </c>
      <c r="J466" t="s">
        <v>67</v>
      </c>
      <c r="K466" t="s">
        <v>1340</v>
      </c>
      <c r="L466">
        <v>2</v>
      </c>
      <c r="M466">
        <v>43813</v>
      </c>
      <c r="N466">
        <v>87626</v>
      </c>
      <c r="O466">
        <v>15</v>
      </c>
      <c r="P466">
        <v>13143.9</v>
      </c>
      <c r="Q466">
        <v>74482.100000000006</v>
      </c>
      <c r="R466" t="s">
        <v>31</v>
      </c>
      <c r="S466" t="s">
        <v>69</v>
      </c>
      <c r="T466">
        <v>8</v>
      </c>
      <c r="U466">
        <v>5958.5680000000002</v>
      </c>
    </row>
    <row r="467" spans="1:21" x14ac:dyDescent="0.25">
      <c r="A467" t="s">
        <v>1341</v>
      </c>
      <c r="B467" s="8">
        <v>45991</v>
      </c>
      <c r="C467" t="s">
        <v>22</v>
      </c>
      <c r="D467" t="s">
        <v>1337</v>
      </c>
      <c r="E467" t="s">
        <v>48</v>
      </c>
      <c r="F467" t="s">
        <v>74</v>
      </c>
      <c r="G467" t="s">
        <v>26</v>
      </c>
      <c r="H467" t="s">
        <v>57</v>
      </c>
      <c r="I467" t="s">
        <v>28</v>
      </c>
      <c r="J467" t="s">
        <v>41</v>
      </c>
      <c r="K467" t="s">
        <v>1342</v>
      </c>
      <c r="L467">
        <v>4</v>
      </c>
      <c r="M467">
        <v>39186</v>
      </c>
      <c r="N467">
        <v>156744</v>
      </c>
      <c r="O467">
        <v>5</v>
      </c>
      <c r="P467">
        <v>7837.2</v>
      </c>
      <c r="Q467">
        <v>148906.79999999999</v>
      </c>
      <c r="R467" t="s">
        <v>53</v>
      </c>
      <c r="S467" t="s">
        <v>44</v>
      </c>
      <c r="T467">
        <v>21</v>
      </c>
      <c r="U467">
        <v>31270.428</v>
      </c>
    </row>
    <row r="468" spans="1:21" x14ac:dyDescent="0.25">
      <c r="A468" t="s">
        <v>1343</v>
      </c>
      <c r="B468" s="8">
        <v>45945</v>
      </c>
      <c r="C468" t="s">
        <v>92</v>
      </c>
      <c r="D468" t="s">
        <v>1344</v>
      </c>
      <c r="E468" t="s">
        <v>73</v>
      </c>
      <c r="F468" t="s">
        <v>49</v>
      </c>
      <c r="G468" t="s">
        <v>66</v>
      </c>
      <c r="H468" t="s">
        <v>27</v>
      </c>
      <c r="I468" t="s">
        <v>40</v>
      </c>
      <c r="J468" t="s">
        <v>41</v>
      </c>
      <c r="K468" t="s">
        <v>1345</v>
      </c>
      <c r="L468">
        <v>1</v>
      </c>
      <c r="M468">
        <v>38424</v>
      </c>
      <c r="N468">
        <v>38424</v>
      </c>
      <c r="O468">
        <v>0</v>
      </c>
      <c r="P468">
        <v>0</v>
      </c>
      <c r="Q468">
        <v>38424</v>
      </c>
      <c r="R468" t="s">
        <v>90</v>
      </c>
      <c r="S468" t="s">
        <v>69</v>
      </c>
      <c r="T468">
        <v>15</v>
      </c>
      <c r="U468">
        <v>5763.6</v>
      </c>
    </row>
    <row r="469" spans="1:21" x14ac:dyDescent="0.25">
      <c r="A469" t="s">
        <v>1346</v>
      </c>
      <c r="B469" s="8">
        <v>45909</v>
      </c>
      <c r="C469" t="s">
        <v>34</v>
      </c>
      <c r="D469" t="s">
        <v>297</v>
      </c>
      <c r="E469" t="s">
        <v>73</v>
      </c>
      <c r="F469" t="s">
        <v>56</v>
      </c>
      <c r="G469" t="s">
        <v>26</v>
      </c>
      <c r="H469" t="s">
        <v>27</v>
      </c>
      <c r="I469" t="s">
        <v>101</v>
      </c>
      <c r="J469" t="s">
        <v>41</v>
      </c>
      <c r="K469" t="s">
        <v>1347</v>
      </c>
      <c r="L469">
        <v>6</v>
      </c>
      <c r="M469">
        <v>41337</v>
      </c>
      <c r="N469">
        <v>248022</v>
      </c>
      <c r="O469">
        <v>10</v>
      </c>
      <c r="P469">
        <v>24802.2</v>
      </c>
      <c r="Q469">
        <v>223219.8</v>
      </c>
      <c r="R469" t="s">
        <v>31</v>
      </c>
      <c r="S469" t="s">
        <v>44</v>
      </c>
      <c r="T469">
        <v>22</v>
      </c>
      <c r="U469">
        <v>49108.356</v>
      </c>
    </row>
    <row r="470" spans="1:21" x14ac:dyDescent="0.25">
      <c r="A470" t="s">
        <v>1348</v>
      </c>
      <c r="B470" s="8">
        <v>45693</v>
      </c>
      <c r="C470" t="s">
        <v>22</v>
      </c>
      <c r="D470" t="s">
        <v>1349</v>
      </c>
      <c r="E470" t="s">
        <v>73</v>
      </c>
      <c r="F470" t="s">
        <v>37</v>
      </c>
      <c r="G470" t="s">
        <v>26</v>
      </c>
      <c r="H470" t="s">
        <v>57</v>
      </c>
      <c r="I470" t="s">
        <v>50</v>
      </c>
      <c r="J470" t="s">
        <v>117</v>
      </c>
      <c r="K470" t="s">
        <v>1350</v>
      </c>
      <c r="L470">
        <v>1</v>
      </c>
      <c r="M470">
        <v>3609</v>
      </c>
      <c r="N470">
        <v>3609</v>
      </c>
      <c r="O470">
        <v>5</v>
      </c>
      <c r="P470">
        <v>180.45</v>
      </c>
      <c r="Q470">
        <v>3428.55</v>
      </c>
      <c r="R470" t="s">
        <v>90</v>
      </c>
      <c r="S470" t="s">
        <v>69</v>
      </c>
      <c r="T470">
        <v>12</v>
      </c>
      <c r="U470">
        <v>411.42599999999999</v>
      </c>
    </row>
    <row r="471" spans="1:21" x14ac:dyDescent="0.25">
      <c r="A471" t="s">
        <v>1351</v>
      </c>
      <c r="B471" s="8">
        <v>45706</v>
      </c>
      <c r="C471" t="s">
        <v>92</v>
      </c>
      <c r="D471" t="s">
        <v>649</v>
      </c>
      <c r="E471" t="s">
        <v>24</v>
      </c>
      <c r="F471" t="s">
        <v>49</v>
      </c>
      <c r="G471" t="s">
        <v>66</v>
      </c>
      <c r="H471" t="s">
        <v>27</v>
      </c>
      <c r="I471" t="s">
        <v>88</v>
      </c>
      <c r="J471" t="s">
        <v>67</v>
      </c>
      <c r="K471" t="s">
        <v>1352</v>
      </c>
      <c r="L471">
        <v>1</v>
      </c>
      <c r="M471">
        <v>24537</v>
      </c>
      <c r="N471">
        <v>24537</v>
      </c>
      <c r="O471">
        <v>15</v>
      </c>
      <c r="P471">
        <v>3680.55</v>
      </c>
      <c r="Q471">
        <v>20856.45</v>
      </c>
      <c r="R471" t="s">
        <v>43</v>
      </c>
      <c r="S471" t="s">
        <v>32</v>
      </c>
      <c r="T471">
        <v>23</v>
      </c>
      <c r="U471">
        <v>4796.9835000000003</v>
      </c>
    </row>
    <row r="472" spans="1:21" x14ac:dyDescent="0.25">
      <c r="A472" t="s">
        <v>1353</v>
      </c>
      <c r="B472" s="8">
        <v>45839</v>
      </c>
      <c r="C472" t="s">
        <v>34</v>
      </c>
      <c r="D472" t="s">
        <v>970</v>
      </c>
      <c r="E472" t="s">
        <v>24</v>
      </c>
      <c r="F472" t="s">
        <v>37</v>
      </c>
      <c r="G472" t="s">
        <v>66</v>
      </c>
      <c r="H472" t="s">
        <v>57</v>
      </c>
      <c r="I472" t="s">
        <v>88</v>
      </c>
      <c r="J472" t="s">
        <v>78</v>
      </c>
      <c r="K472" t="s">
        <v>1354</v>
      </c>
      <c r="L472">
        <v>3</v>
      </c>
      <c r="M472">
        <v>41351</v>
      </c>
      <c r="N472">
        <v>124053</v>
      </c>
      <c r="O472">
        <v>15</v>
      </c>
      <c r="P472">
        <v>18607.95</v>
      </c>
      <c r="Q472">
        <v>105445.05</v>
      </c>
      <c r="R472" t="s">
        <v>43</v>
      </c>
      <c r="S472" t="s">
        <v>44</v>
      </c>
      <c r="T472">
        <v>18</v>
      </c>
      <c r="U472">
        <v>18980.109</v>
      </c>
    </row>
    <row r="473" spans="1:21" x14ac:dyDescent="0.25">
      <c r="A473" t="s">
        <v>1355</v>
      </c>
      <c r="B473" s="8">
        <v>45791</v>
      </c>
      <c r="C473" t="s">
        <v>46</v>
      </c>
      <c r="D473" t="s">
        <v>1356</v>
      </c>
      <c r="E473" t="s">
        <v>36</v>
      </c>
      <c r="F473" t="s">
        <v>25</v>
      </c>
      <c r="G473" t="s">
        <v>38</v>
      </c>
      <c r="H473" t="s">
        <v>39</v>
      </c>
      <c r="I473" t="s">
        <v>40</v>
      </c>
      <c r="J473" t="s">
        <v>41</v>
      </c>
      <c r="K473" t="s">
        <v>700</v>
      </c>
      <c r="L473">
        <v>9</v>
      </c>
      <c r="M473">
        <v>31668</v>
      </c>
      <c r="N473">
        <v>285012</v>
      </c>
      <c r="O473">
        <v>15</v>
      </c>
      <c r="P473">
        <v>42751.8</v>
      </c>
      <c r="Q473">
        <v>242260.2</v>
      </c>
      <c r="R473" t="s">
        <v>31</v>
      </c>
      <c r="S473" t="s">
        <v>32</v>
      </c>
      <c r="T473">
        <v>20</v>
      </c>
      <c r="U473">
        <v>48452.04</v>
      </c>
    </row>
    <row r="474" spans="1:21" x14ac:dyDescent="0.25">
      <c r="A474" t="s">
        <v>1357</v>
      </c>
      <c r="B474" s="8">
        <v>45848</v>
      </c>
      <c r="C474" t="s">
        <v>34</v>
      </c>
      <c r="D474" t="s">
        <v>1358</v>
      </c>
      <c r="E474" t="s">
        <v>73</v>
      </c>
      <c r="F474" t="s">
        <v>37</v>
      </c>
      <c r="G474" t="s">
        <v>38</v>
      </c>
      <c r="H474" t="s">
        <v>39</v>
      </c>
      <c r="I474" t="s">
        <v>101</v>
      </c>
      <c r="J474" t="s">
        <v>78</v>
      </c>
      <c r="K474" t="s">
        <v>1359</v>
      </c>
      <c r="L474">
        <v>8</v>
      </c>
      <c r="M474">
        <v>8780</v>
      </c>
      <c r="N474">
        <v>70240</v>
      </c>
      <c r="O474">
        <v>5</v>
      </c>
      <c r="P474">
        <v>3512</v>
      </c>
      <c r="Q474">
        <v>66728</v>
      </c>
      <c r="R474" t="s">
        <v>43</v>
      </c>
      <c r="S474" t="s">
        <v>69</v>
      </c>
      <c r="T474">
        <v>23</v>
      </c>
      <c r="U474">
        <v>15347.44</v>
      </c>
    </row>
    <row r="475" spans="1:21" x14ac:dyDescent="0.25">
      <c r="A475" t="s">
        <v>1360</v>
      </c>
      <c r="B475" s="8">
        <v>45679</v>
      </c>
      <c r="C475" t="s">
        <v>63</v>
      </c>
      <c r="D475" t="s">
        <v>1361</v>
      </c>
      <c r="E475" t="s">
        <v>48</v>
      </c>
      <c r="F475" t="s">
        <v>83</v>
      </c>
      <c r="G475" t="s">
        <v>66</v>
      </c>
      <c r="H475" t="s">
        <v>57</v>
      </c>
      <c r="I475" t="s">
        <v>88</v>
      </c>
      <c r="J475" t="s">
        <v>67</v>
      </c>
      <c r="K475" t="s">
        <v>1362</v>
      </c>
      <c r="L475">
        <v>5</v>
      </c>
      <c r="M475">
        <v>42934</v>
      </c>
      <c r="N475">
        <v>214670</v>
      </c>
      <c r="O475">
        <v>20</v>
      </c>
      <c r="P475">
        <v>42934</v>
      </c>
      <c r="Q475">
        <v>171736</v>
      </c>
      <c r="R475" t="s">
        <v>90</v>
      </c>
      <c r="S475" t="s">
        <v>69</v>
      </c>
      <c r="T475">
        <v>5</v>
      </c>
      <c r="U475">
        <v>8586.7999999999993</v>
      </c>
    </row>
    <row r="476" spans="1:21" x14ac:dyDescent="0.25">
      <c r="A476" t="s">
        <v>1363</v>
      </c>
      <c r="B476" s="8">
        <v>45896</v>
      </c>
      <c r="C476" t="s">
        <v>46</v>
      </c>
      <c r="D476" t="s">
        <v>1364</v>
      </c>
      <c r="E476" t="s">
        <v>73</v>
      </c>
      <c r="F476" t="s">
        <v>56</v>
      </c>
      <c r="G476" t="s">
        <v>38</v>
      </c>
      <c r="H476" t="s">
        <v>27</v>
      </c>
      <c r="I476" t="s">
        <v>88</v>
      </c>
      <c r="J476" t="s">
        <v>78</v>
      </c>
      <c r="K476" t="s">
        <v>1365</v>
      </c>
      <c r="L476">
        <v>4</v>
      </c>
      <c r="M476">
        <v>33581</v>
      </c>
      <c r="N476">
        <v>134324</v>
      </c>
      <c r="O476">
        <v>10</v>
      </c>
      <c r="P476">
        <v>13432.4</v>
      </c>
      <c r="Q476">
        <v>120891.6</v>
      </c>
      <c r="R476" t="s">
        <v>90</v>
      </c>
      <c r="S476" t="s">
        <v>44</v>
      </c>
      <c r="T476">
        <v>15</v>
      </c>
      <c r="U476">
        <v>18133.740000000002</v>
      </c>
    </row>
    <row r="477" spans="1:21" x14ac:dyDescent="0.25">
      <c r="A477" t="s">
        <v>1366</v>
      </c>
      <c r="B477" s="8">
        <v>45659</v>
      </c>
      <c r="C477" t="s">
        <v>63</v>
      </c>
      <c r="D477" t="s">
        <v>1367</v>
      </c>
      <c r="E477" t="s">
        <v>73</v>
      </c>
      <c r="F477" t="s">
        <v>49</v>
      </c>
      <c r="G477" t="s">
        <v>38</v>
      </c>
      <c r="H477" t="s">
        <v>39</v>
      </c>
      <c r="I477" t="s">
        <v>75</v>
      </c>
      <c r="J477" t="s">
        <v>29</v>
      </c>
      <c r="K477" t="s">
        <v>1368</v>
      </c>
      <c r="L477">
        <v>9</v>
      </c>
      <c r="M477">
        <v>1919</v>
      </c>
      <c r="N477">
        <v>17271</v>
      </c>
      <c r="O477">
        <v>20</v>
      </c>
      <c r="P477">
        <v>3454.2</v>
      </c>
      <c r="Q477">
        <v>13816.8</v>
      </c>
      <c r="R477" t="s">
        <v>53</v>
      </c>
      <c r="S477" t="s">
        <v>32</v>
      </c>
      <c r="T477">
        <v>30</v>
      </c>
      <c r="U477">
        <v>4145.04</v>
      </c>
    </row>
    <row r="478" spans="1:21" x14ac:dyDescent="0.25">
      <c r="A478" t="s">
        <v>1369</v>
      </c>
      <c r="B478" s="8">
        <v>45950</v>
      </c>
      <c r="C478" t="s">
        <v>120</v>
      </c>
      <c r="D478" t="s">
        <v>470</v>
      </c>
      <c r="E478" t="s">
        <v>24</v>
      </c>
      <c r="F478" t="s">
        <v>74</v>
      </c>
      <c r="G478" t="s">
        <v>66</v>
      </c>
      <c r="H478" t="s">
        <v>57</v>
      </c>
      <c r="I478" t="s">
        <v>88</v>
      </c>
      <c r="J478" t="s">
        <v>117</v>
      </c>
      <c r="K478" t="s">
        <v>1370</v>
      </c>
      <c r="L478">
        <v>9</v>
      </c>
      <c r="M478">
        <v>8513</v>
      </c>
      <c r="N478">
        <v>76617</v>
      </c>
      <c r="O478">
        <v>5</v>
      </c>
      <c r="P478">
        <v>3830.85</v>
      </c>
      <c r="Q478">
        <v>72786.149999999994</v>
      </c>
      <c r="R478" t="s">
        <v>53</v>
      </c>
      <c r="S478" t="s">
        <v>32</v>
      </c>
      <c r="T478">
        <v>13</v>
      </c>
      <c r="U478">
        <v>9462.1994999999988</v>
      </c>
    </row>
    <row r="479" spans="1:21" x14ac:dyDescent="0.25">
      <c r="A479" t="s">
        <v>1371</v>
      </c>
      <c r="B479" s="8">
        <v>45884</v>
      </c>
      <c r="C479" t="s">
        <v>46</v>
      </c>
      <c r="D479" t="s">
        <v>1307</v>
      </c>
      <c r="E479" t="s">
        <v>24</v>
      </c>
      <c r="F479" t="s">
        <v>37</v>
      </c>
      <c r="G479" t="s">
        <v>66</v>
      </c>
      <c r="H479" t="s">
        <v>57</v>
      </c>
      <c r="I479" t="s">
        <v>88</v>
      </c>
      <c r="J479" t="s">
        <v>41</v>
      </c>
      <c r="K479" t="s">
        <v>1372</v>
      </c>
      <c r="L479">
        <v>6</v>
      </c>
      <c r="M479">
        <v>19877</v>
      </c>
      <c r="N479">
        <v>119262</v>
      </c>
      <c r="O479">
        <v>0</v>
      </c>
      <c r="P479">
        <v>0</v>
      </c>
      <c r="Q479">
        <v>119262</v>
      </c>
      <c r="R479" t="s">
        <v>53</v>
      </c>
      <c r="S479" t="s">
        <v>69</v>
      </c>
      <c r="T479">
        <v>29</v>
      </c>
      <c r="U479">
        <v>34585.980000000003</v>
      </c>
    </row>
    <row r="480" spans="1:21" x14ac:dyDescent="0.25">
      <c r="A480" t="s">
        <v>1373</v>
      </c>
      <c r="B480" s="8">
        <v>45755</v>
      </c>
      <c r="C480" t="s">
        <v>147</v>
      </c>
      <c r="D480" t="s">
        <v>1374</v>
      </c>
      <c r="E480" t="s">
        <v>36</v>
      </c>
      <c r="F480" t="s">
        <v>37</v>
      </c>
      <c r="G480" t="s">
        <v>66</v>
      </c>
      <c r="H480" t="s">
        <v>39</v>
      </c>
      <c r="I480" t="s">
        <v>88</v>
      </c>
      <c r="J480" t="s">
        <v>41</v>
      </c>
      <c r="K480" t="s">
        <v>1375</v>
      </c>
      <c r="L480">
        <v>6</v>
      </c>
      <c r="M480">
        <v>21978</v>
      </c>
      <c r="N480">
        <v>131868</v>
      </c>
      <c r="O480">
        <v>5</v>
      </c>
      <c r="P480">
        <v>6593.4</v>
      </c>
      <c r="Q480">
        <v>125274.6</v>
      </c>
      <c r="R480" t="s">
        <v>90</v>
      </c>
      <c r="S480" t="s">
        <v>69</v>
      </c>
      <c r="T480">
        <v>8</v>
      </c>
      <c r="U480">
        <v>10021.968000000001</v>
      </c>
    </row>
    <row r="481" spans="1:21" x14ac:dyDescent="0.25">
      <c r="A481" t="s">
        <v>1376</v>
      </c>
      <c r="B481" s="8">
        <v>45690</v>
      </c>
      <c r="C481" t="s">
        <v>120</v>
      </c>
      <c r="D481" t="s">
        <v>1377</v>
      </c>
      <c r="E481" t="s">
        <v>24</v>
      </c>
      <c r="F481" t="s">
        <v>74</v>
      </c>
      <c r="G481" t="s">
        <v>26</v>
      </c>
      <c r="H481" t="s">
        <v>39</v>
      </c>
      <c r="I481" t="s">
        <v>28</v>
      </c>
      <c r="J481" t="s">
        <v>67</v>
      </c>
      <c r="K481" t="s">
        <v>1378</v>
      </c>
      <c r="L481">
        <v>4</v>
      </c>
      <c r="M481">
        <v>30048</v>
      </c>
      <c r="N481">
        <v>120192</v>
      </c>
      <c r="O481">
        <v>20</v>
      </c>
      <c r="P481">
        <v>24038.400000000001</v>
      </c>
      <c r="Q481">
        <v>96153.600000000006</v>
      </c>
      <c r="R481" t="s">
        <v>90</v>
      </c>
      <c r="S481" t="s">
        <v>69</v>
      </c>
      <c r="T481">
        <v>10</v>
      </c>
      <c r="U481">
        <v>9615.36</v>
      </c>
    </row>
    <row r="482" spans="1:21" x14ac:dyDescent="0.25">
      <c r="A482" t="s">
        <v>1379</v>
      </c>
      <c r="B482" s="8">
        <v>45827</v>
      </c>
      <c r="C482" t="s">
        <v>147</v>
      </c>
      <c r="D482" t="s">
        <v>1380</v>
      </c>
      <c r="E482" t="s">
        <v>36</v>
      </c>
      <c r="F482" t="s">
        <v>37</v>
      </c>
      <c r="G482" t="s">
        <v>66</v>
      </c>
      <c r="H482" t="s">
        <v>27</v>
      </c>
      <c r="I482" t="s">
        <v>40</v>
      </c>
      <c r="J482" t="s">
        <v>29</v>
      </c>
      <c r="K482" t="s">
        <v>1381</v>
      </c>
      <c r="L482">
        <v>8</v>
      </c>
      <c r="M482">
        <v>38238</v>
      </c>
      <c r="N482">
        <v>305904</v>
      </c>
      <c r="O482">
        <v>20</v>
      </c>
      <c r="P482">
        <v>61180.800000000003</v>
      </c>
      <c r="Q482">
        <v>244723.20000000001</v>
      </c>
      <c r="R482" t="s">
        <v>53</v>
      </c>
      <c r="S482" t="s">
        <v>69</v>
      </c>
      <c r="T482">
        <v>18</v>
      </c>
      <c r="U482">
        <v>44050.176000000007</v>
      </c>
    </row>
    <row r="483" spans="1:21" x14ac:dyDescent="0.25">
      <c r="A483" t="s">
        <v>1382</v>
      </c>
      <c r="B483" s="8">
        <v>45662</v>
      </c>
      <c r="C483" t="s">
        <v>147</v>
      </c>
      <c r="D483" t="s">
        <v>1383</v>
      </c>
      <c r="E483" t="s">
        <v>48</v>
      </c>
      <c r="F483" t="s">
        <v>83</v>
      </c>
      <c r="G483" t="s">
        <v>38</v>
      </c>
      <c r="H483" t="s">
        <v>27</v>
      </c>
      <c r="I483" t="s">
        <v>50</v>
      </c>
      <c r="J483" t="s">
        <v>41</v>
      </c>
      <c r="K483" t="s">
        <v>1384</v>
      </c>
      <c r="L483">
        <v>3</v>
      </c>
      <c r="M483">
        <v>15400</v>
      </c>
      <c r="N483">
        <v>46200</v>
      </c>
      <c r="O483">
        <v>5</v>
      </c>
      <c r="P483">
        <v>2310</v>
      </c>
      <c r="Q483">
        <v>43890</v>
      </c>
      <c r="R483" t="s">
        <v>43</v>
      </c>
      <c r="S483" t="s">
        <v>44</v>
      </c>
      <c r="T483">
        <v>19</v>
      </c>
      <c r="U483">
        <v>8339.1</v>
      </c>
    </row>
    <row r="484" spans="1:21" x14ac:dyDescent="0.25">
      <c r="A484" t="s">
        <v>1385</v>
      </c>
      <c r="B484" s="8">
        <v>45875</v>
      </c>
      <c r="C484" t="s">
        <v>22</v>
      </c>
      <c r="D484" t="s">
        <v>496</v>
      </c>
      <c r="E484" t="s">
        <v>24</v>
      </c>
      <c r="F484" t="s">
        <v>83</v>
      </c>
      <c r="G484" t="s">
        <v>26</v>
      </c>
      <c r="H484" t="s">
        <v>39</v>
      </c>
      <c r="I484" t="s">
        <v>101</v>
      </c>
      <c r="J484" t="s">
        <v>29</v>
      </c>
      <c r="K484" t="s">
        <v>1386</v>
      </c>
      <c r="L484">
        <v>10</v>
      </c>
      <c r="M484">
        <v>6946</v>
      </c>
      <c r="N484">
        <v>69460</v>
      </c>
      <c r="O484">
        <v>0</v>
      </c>
      <c r="P484">
        <v>0</v>
      </c>
      <c r="Q484">
        <v>69460</v>
      </c>
      <c r="R484" t="s">
        <v>90</v>
      </c>
      <c r="S484" t="s">
        <v>69</v>
      </c>
      <c r="T484">
        <v>7</v>
      </c>
      <c r="U484">
        <v>4862.2</v>
      </c>
    </row>
    <row r="485" spans="1:21" x14ac:dyDescent="0.25">
      <c r="A485" t="s">
        <v>1387</v>
      </c>
      <c r="B485" s="8">
        <v>45723</v>
      </c>
      <c r="C485" t="s">
        <v>22</v>
      </c>
      <c r="D485" t="s">
        <v>1388</v>
      </c>
      <c r="E485" t="s">
        <v>48</v>
      </c>
      <c r="F485" t="s">
        <v>65</v>
      </c>
      <c r="G485" t="s">
        <v>26</v>
      </c>
      <c r="H485" t="s">
        <v>57</v>
      </c>
      <c r="I485" t="s">
        <v>40</v>
      </c>
      <c r="J485" t="s">
        <v>78</v>
      </c>
      <c r="K485" t="s">
        <v>1389</v>
      </c>
      <c r="L485">
        <v>3</v>
      </c>
      <c r="M485">
        <v>1367</v>
      </c>
      <c r="N485">
        <v>4101</v>
      </c>
      <c r="O485">
        <v>10</v>
      </c>
      <c r="P485">
        <v>410.1</v>
      </c>
      <c r="Q485">
        <v>3690.9</v>
      </c>
      <c r="R485" t="s">
        <v>31</v>
      </c>
      <c r="S485" t="s">
        <v>69</v>
      </c>
      <c r="T485">
        <v>29</v>
      </c>
      <c r="U485">
        <v>1070.3610000000001</v>
      </c>
    </row>
    <row r="486" spans="1:21" x14ac:dyDescent="0.25">
      <c r="A486" t="s">
        <v>1390</v>
      </c>
      <c r="B486" s="8">
        <v>45665</v>
      </c>
      <c r="C486" t="s">
        <v>86</v>
      </c>
      <c r="D486" t="s">
        <v>1391</v>
      </c>
      <c r="E486" t="s">
        <v>24</v>
      </c>
      <c r="F486" t="s">
        <v>49</v>
      </c>
      <c r="G486" t="s">
        <v>26</v>
      </c>
      <c r="H486" t="s">
        <v>57</v>
      </c>
      <c r="I486" t="s">
        <v>50</v>
      </c>
      <c r="J486" t="s">
        <v>29</v>
      </c>
      <c r="K486" t="s">
        <v>1392</v>
      </c>
      <c r="L486">
        <v>9</v>
      </c>
      <c r="M486">
        <v>42442</v>
      </c>
      <c r="N486">
        <v>381978</v>
      </c>
      <c r="O486">
        <v>5</v>
      </c>
      <c r="P486">
        <v>19098.900000000001</v>
      </c>
      <c r="Q486">
        <v>362879.1</v>
      </c>
      <c r="R486" t="s">
        <v>53</v>
      </c>
      <c r="S486" t="s">
        <v>69</v>
      </c>
      <c r="T486">
        <v>29</v>
      </c>
      <c r="U486">
        <v>105234.939</v>
      </c>
    </row>
    <row r="487" spans="1:21" x14ac:dyDescent="0.25">
      <c r="A487" t="s">
        <v>1393</v>
      </c>
      <c r="B487" s="8">
        <v>45726</v>
      </c>
      <c r="C487" t="s">
        <v>86</v>
      </c>
      <c r="D487" t="s">
        <v>60</v>
      </c>
      <c r="E487" t="s">
        <v>24</v>
      </c>
      <c r="F487" t="s">
        <v>65</v>
      </c>
      <c r="G487" t="s">
        <v>38</v>
      </c>
      <c r="H487" t="s">
        <v>39</v>
      </c>
      <c r="I487" t="s">
        <v>40</v>
      </c>
      <c r="J487" t="s">
        <v>117</v>
      </c>
      <c r="K487" t="s">
        <v>1394</v>
      </c>
      <c r="L487">
        <v>3</v>
      </c>
      <c r="M487">
        <v>5604</v>
      </c>
      <c r="N487">
        <v>16812</v>
      </c>
      <c r="O487">
        <v>20</v>
      </c>
      <c r="P487">
        <v>3362.4</v>
      </c>
      <c r="Q487">
        <v>13449.6</v>
      </c>
      <c r="R487" t="s">
        <v>90</v>
      </c>
      <c r="S487" t="s">
        <v>44</v>
      </c>
      <c r="T487">
        <v>10</v>
      </c>
      <c r="U487">
        <v>1344.96</v>
      </c>
    </row>
    <row r="488" spans="1:21" x14ac:dyDescent="0.25">
      <c r="A488" t="s">
        <v>1395</v>
      </c>
      <c r="B488" s="8">
        <v>45699</v>
      </c>
      <c r="C488" t="s">
        <v>86</v>
      </c>
      <c r="D488" t="s">
        <v>1396</v>
      </c>
      <c r="E488" t="s">
        <v>48</v>
      </c>
      <c r="F488" t="s">
        <v>25</v>
      </c>
      <c r="G488" t="s">
        <v>26</v>
      </c>
      <c r="H488" t="s">
        <v>39</v>
      </c>
      <c r="I488" t="s">
        <v>50</v>
      </c>
      <c r="J488" t="s">
        <v>117</v>
      </c>
      <c r="K488" t="s">
        <v>1397</v>
      </c>
      <c r="L488">
        <v>10</v>
      </c>
      <c r="M488">
        <v>22565</v>
      </c>
      <c r="N488">
        <v>225650</v>
      </c>
      <c r="O488">
        <v>0</v>
      </c>
      <c r="P488">
        <v>0</v>
      </c>
      <c r="Q488">
        <v>225650</v>
      </c>
      <c r="R488" t="s">
        <v>31</v>
      </c>
      <c r="S488" t="s">
        <v>32</v>
      </c>
      <c r="T488">
        <v>7</v>
      </c>
      <c r="U488">
        <v>15795.5</v>
      </c>
    </row>
    <row r="489" spans="1:21" x14ac:dyDescent="0.25">
      <c r="A489" t="s">
        <v>1398</v>
      </c>
      <c r="B489" s="8">
        <v>45770</v>
      </c>
      <c r="C489" t="s">
        <v>63</v>
      </c>
      <c r="D489" t="s">
        <v>1399</v>
      </c>
      <c r="E489" t="s">
        <v>24</v>
      </c>
      <c r="F489" t="s">
        <v>56</v>
      </c>
      <c r="G489" t="s">
        <v>26</v>
      </c>
      <c r="H489" t="s">
        <v>27</v>
      </c>
      <c r="I489" t="s">
        <v>88</v>
      </c>
      <c r="J489" t="s">
        <v>67</v>
      </c>
      <c r="K489" t="s">
        <v>1400</v>
      </c>
      <c r="L489">
        <v>6</v>
      </c>
      <c r="M489">
        <v>45887</v>
      </c>
      <c r="N489">
        <v>275322</v>
      </c>
      <c r="O489">
        <v>15</v>
      </c>
      <c r="P489">
        <v>41298.300000000003</v>
      </c>
      <c r="Q489">
        <v>234023.7</v>
      </c>
      <c r="R489" t="s">
        <v>43</v>
      </c>
      <c r="S489" t="s">
        <v>44</v>
      </c>
      <c r="T489">
        <v>9</v>
      </c>
      <c r="U489">
        <v>21062.133000000002</v>
      </c>
    </row>
    <row r="490" spans="1:21" x14ac:dyDescent="0.25">
      <c r="A490" t="s">
        <v>1401</v>
      </c>
      <c r="B490" s="8">
        <v>45985</v>
      </c>
      <c r="C490" t="s">
        <v>34</v>
      </c>
      <c r="D490" t="s">
        <v>1402</v>
      </c>
      <c r="E490" t="s">
        <v>36</v>
      </c>
      <c r="F490" t="s">
        <v>56</v>
      </c>
      <c r="G490" t="s">
        <v>38</v>
      </c>
      <c r="H490" t="s">
        <v>27</v>
      </c>
      <c r="I490" t="s">
        <v>28</v>
      </c>
      <c r="J490" t="s">
        <v>29</v>
      </c>
      <c r="K490" t="s">
        <v>1403</v>
      </c>
      <c r="L490">
        <v>4</v>
      </c>
      <c r="M490">
        <v>544</v>
      </c>
      <c r="N490">
        <v>2176</v>
      </c>
      <c r="O490">
        <v>5</v>
      </c>
      <c r="P490">
        <v>108.8</v>
      </c>
      <c r="Q490">
        <v>2067.1999999999998</v>
      </c>
      <c r="R490" t="s">
        <v>31</v>
      </c>
      <c r="S490" t="s">
        <v>44</v>
      </c>
      <c r="T490">
        <v>24</v>
      </c>
      <c r="U490">
        <v>496.12799999999987</v>
      </c>
    </row>
    <row r="491" spans="1:21" x14ac:dyDescent="0.25">
      <c r="A491" t="s">
        <v>1404</v>
      </c>
      <c r="B491" s="8">
        <v>45789</v>
      </c>
      <c r="C491" t="s">
        <v>92</v>
      </c>
      <c r="D491" t="s">
        <v>1405</v>
      </c>
      <c r="E491" t="s">
        <v>73</v>
      </c>
      <c r="F491" t="s">
        <v>94</v>
      </c>
      <c r="G491" t="s">
        <v>26</v>
      </c>
      <c r="H491" t="s">
        <v>57</v>
      </c>
      <c r="I491" t="s">
        <v>101</v>
      </c>
      <c r="J491" t="s">
        <v>67</v>
      </c>
      <c r="K491" t="s">
        <v>1406</v>
      </c>
      <c r="L491">
        <v>6</v>
      </c>
      <c r="M491">
        <v>11947</v>
      </c>
      <c r="N491">
        <v>71682</v>
      </c>
      <c r="O491">
        <v>0</v>
      </c>
      <c r="P491">
        <v>0</v>
      </c>
      <c r="Q491">
        <v>71682</v>
      </c>
      <c r="R491" t="s">
        <v>31</v>
      </c>
      <c r="S491" t="s">
        <v>69</v>
      </c>
      <c r="T491">
        <v>11</v>
      </c>
      <c r="U491">
        <v>7885.02</v>
      </c>
    </row>
    <row r="492" spans="1:21" x14ac:dyDescent="0.25">
      <c r="A492" t="s">
        <v>1407</v>
      </c>
      <c r="B492" s="8">
        <v>45915</v>
      </c>
      <c r="C492" t="s">
        <v>81</v>
      </c>
      <c r="D492" t="s">
        <v>1408</v>
      </c>
      <c r="E492" t="s">
        <v>36</v>
      </c>
      <c r="F492" t="s">
        <v>94</v>
      </c>
      <c r="G492" t="s">
        <v>38</v>
      </c>
      <c r="H492" t="s">
        <v>39</v>
      </c>
      <c r="I492" t="s">
        <v>75</v>
      </c>
      <c r="J492" t="s">
        <v>117</v>
      </c>
      <c r="K492" t="s">
        <v>1409</v>
      </c>
      <c r="L492">
        <v>2</v>
      </c>
      <c r="M492">
        <v>1892</v>
      </c>
      <c r="N492">
        <v>3784</v>
      </c>
      <c r="O492">
        <v>0</v>
      </c>
      <c r="P492">
        <v>0</v>
      </c>
      <c r="Q492">
        <v>3784</v>
      </c>
      <c r="R492" t="s">
        <v>90</v>
      </c>
      <c r="S492" t="s">
        <v>32</v>
      </c>
      <c r="T492">
        <v>21</v>
      </c>
      <c r="U492">
        <v>794.64</v>
      </c>
    </row>
    <row r="493" spans="1:21" x14ac:dyDescent="0.25">
      <c r="A493" t="s">
        <v>1410</v>
      </c>
      <c r="B493" s="8">
        <v>45909</v>
      </c>
      <c r="C493" t="s">
        <v>22</v>
      </c>
      <c r="D493" t="s">
        <v>1411</v>
      </c>
      <c r="E493" t="s">
        <v>36</v>
      </c>
      <c r="F493" t="s">
        <v>37</v>
      </c>
      <c r="G493" t="s">
        <v>26</v>
      </c>
      <c r="H493" t="s">
        <v>57</v>
      </c>
      <c r="I493" t="s">
        <v>40</v>
      </c>
      <c r="J493" t="s">
        <v>29</v>
      </c>
      <c r="K493" t="s">
        <v>1412</v>
      </c>
      <c r="L493">
        <v>1</v>
      </c>
      <c r="M493">
        <v>14647</v>
      </c>
      <c r="N493">
        <v>14647</v>
      </c>
      <c r="O493">
        <v>20</v>
      </c>
      <c r="P493">
        <v>2929.4</v>
      </c>
      <c r="Q493">
        <v>11717.6</v>
      </c>
      <c r="R493" t="s">
        <v>90</v>
      </c>
      <c r="S493" t="s">
        <v>69</v>
      </c>
      <c r="T493">
        <v>19</v>
      </c>
      <c r="U493">
        <v>2226.3440000000001</v>
      </c>
    </row>
    <row r="494" spans="1:21" x14ac:dyDescent="0.25">
      <c r="A494" t="s">
        <v>1413</v>
      </c>
      <c r="B494" s="8">
        <v>45915</v>
      </c>
      <c r="C494" t="s">
        <v>92</v>
      </c>
      <c r="D494" t="s">
        <v>261</v>
      </c>
      <c r="E494" t="s">
        <v>48</v>
      </c>
      <c r="F494" t="s">
        <v>49</v>
      </c>
      <c r="G494" t="s">
        <v>26</v>
      </c>
      <c r="H494" t="s">
        <v>27</v>
      </c>
      <c r="I494" t="s">
        <v>75</v>
      </c>
      <c r="J494" t="s">
        <v>41</v>
      </c>
      <c r="K494" t="s">
        <v>1414</v>
      </c>
      <c r="L494">
        <v>7</v>
      </c>
      <c r="M494">
        <v>26389</v>
      </c>
      <c r="N494">
        <v>184723</v>
      </c>
      <c r="O494">
        <v>10</v>
      </c>
      <c r="P494">
        <v>18472.3</v>
      </c>
      <c r="Q494">
        <v>166250.70000000001</v>
      </c>
      <c r="R494" t="s">
        <v>31</v>
      </c>
      <c r="S494" t="s">
        <v>44</v>
      </c>
      <c r="T494">
        <v>21</v>
      </c>
      <c r="U494">
        <v>34912.646999999997</v>
      </c>
    </row>
    <row r="495" spans="1:21" x14ac:dyDescent="0.25">
      <c r="A495" t="s">
        <v>1415</v>
      </c>
      <c r="B495" s="8">
        <v>45880</v>
      </c>
      <c r="C495" t="s">
        <v>120</v>
      </c>
      <c r="D495" t="s">
        <v>1416</v>
      </c>
      <c r="E495" t="s">
        <v>48</v>
      </c>
      <c r="F495" t="s">
        <v>49</v>
      </c>
      <c r="G495" t="s">
        <v>38</v>
      </c>
      <c r="H495" t="s">
        <v>39</v>
      </c>
      <c r="I495" t="s">
        <v>75</v>
      </c>
      <c r="J495" t="s">
        <v>78</v>
      </c>
      <c r="K495" t="s">
        <v>1417</v>
      </c>
      <c r="L495">
        <v>8</v>
      </c>
      <c r="M495">
        <v>16304</v>
      </c>
      <c r="N495">
        <v>130432</v>
      </c>
      <c r="O495">
        <v>20</v>
      </c>
      <c r="P495">
        <v>26086.400000000001</v>
      </c>
      <c r="Q495">
        <v>104345.60000000001</v>
      </c>
      <c r="R495" t="s">
        <v>53</v>
      </c>
      <c r="S495" t="s">
        <v>32</v>
      </c>
      <c r="T495">
        <v>12</v>
      </c>
      <c r="U495">
        <v>12521.472</v>
      </c>
    </row>
    <row r="496" spans="1:21" x14ac:dyDescent="0.25">
      <c r="A496" t="s">
        <v>1418</v>
      </c>
      <c r="B496" s="8">
        <v>45929</v>
      </c>
      <c r="C496" t="s">
        <v>81</v>
      </c>
      <c r="D496" t="s">
        <v>1419</v>
      </c>
      <c r="E496" t="s">
        <v>48</v>
      </c>
      <c r="F496" t="s">
        <v>56</v>
      </c>
      <c r="G496" t="s">
        <v>26</v>
      </c>
      <c r="H496" t="s">
        <v>57</v>
      </c>
      <c r="I496" t="s">
        <v>101</v>
      </c>
      <c r="J496" t="s">
        <v>78</v>
      </c>
      <c r="K496" t="s">
        <v>1420</v>
      </c>
      <c r="L496">
        <v>5</v>
      </c>
      <c r="M496">
        <v>9694</v>
      </c>
      <c r="N496">
        <v>48470</v>
      </c>
      <c r="O496">
        <v>0</v>
      </c>
      <c r="P496">
        <v>0</v>
      </c>
      <c r="Q496">
        <v>48470</v>
      </c>
      <c r="R496" t="s">
        <v>53</v>
      </c>
      <c r="S496" t="s">
        <v>69</v>
      </c>
      <c r="T496">
        <v>22</v>
      </c>
      <c r="U496">
        <v>10663.4</v>
      </c>
    </row>
    <row r="497" spans="1:21" x14ac:dyDescent="0.25">
      <c r="A497" t="s">
        <v>1421</v>
      </c>
      <c r="B497" s="8">
        <v>45724</v>
      </c>
      <c r="C497" t="s">
        <v>86</v>
      </c>
      <c r="D497" t="s">
        <v>1422</v>
      </c>
      <c r="E497" t="s">
        <v>48</v>
      </c>
      <c r="F497" t="s">
        <v>94</v>
      </c>
      <c r="G497" t="s">
        <v>66</v>
      </c>
      <c r="H497" t="s">
        <v>57</v>
      </c>
      <c r="I497" t="s">
        <v>50</v>
      </c>
      <c r="J497" t="s">
        <v>51</v>
      </c>
      <c r="K497" t="s">
        <v>1423</v>
      </c>
      <c r="L497">
        <v>10</v>
      </c>
      <c r="M497">
        <v>41768</v>
      </c>
      <c r="N497">
        <v>417680</v>
      </c>
      <c r="O497">
        <v>20</v>
      </c>
      <c r="P497">
        <v>83536</v>
      </c>
      <c r="Q497">
        <v>334144</v>
      </c>
      <c r="R497" t="s">
        <v>31</v>
      </c>
      <c r="S497" t="s">
        <v>69</v>
      </c>
      <c r="T497">
        <v>18</v>
      </c>
      <c r="U497">
        <v>60145.919999999998</v>
      </c>
    </row>
    <row r="498" spans="1:21" x14ac:dyDescent="0.25">
      <c r="A498" t="s">
        <v>1424</v>
      </c>
      <c r="B498" s="8">
        <v>45917</v>
      </c>
      <c r="C498" t="s">
        <v>86</v>
      </c>
      <c r="D498" t="s">
        <v>64</v>
      </c>
      <c r="E498" t="s">
        <v>73</v>
      </c>
      <c r="F498" t="s">
        <v>83</v>
      </c>
      <c r="G498" t="s">
        <v>38</v>
      </c>
      <c r="H498" t="s">
        <v>39</v>
      </c>
      <c r="I498" t="s">
        <v>40</v>
      </c>
      <c r="J498" t="s">
        <v>29</v>
      </c>
      <c r="K498" t="s">
        <v>1425</v>
      </c>
      <c r="L498">
        <v>6</v>
      </c>
      <c r="M498">
        <v>12507</v>
      </c>
      <c r="N498">
        <v>75042</v>
      </c>
      <c r="O498">
        <v>20</v>
      </c>
      <c r="P498">
        <v>15008.4</v>
      </c>
      <c r="Q498">
        <v>60033.599999999999</v>
      </c>
      <c r="R498" t="s">
        <v>31</v>
      </c>
      <c r="S498" t="s">
        <v>44</v>
      </c>
      <c r="T498">
        <v>12</v>
      </c>
      <c r="U498">
        <v>7204.0319999999992</v>
      </c>
    </row>
    <row r="499" spans="1:21" x14ac:dyDescent="0.25">
      <c r="A499" t="s">
        <v>1426</v>
      </c>
      <c r="B499" s="8">
        <v>45771</v>
      </c>
      <c r="C499" t="s">
        <v>34</v>
      </c>
      <c r="D499" t="s">
        <v>330</v>
      </c>
      <c r="E499" t="s">
        <v>24</v>
      </c>
      <c r="F499" t="s">
        <v>83</v>
      </c>
      <c r="G499" t="s">
        <v>26</v>
      </c>
      <c r="H499" t="s">
        <v>57</v>
      </c>
      <c r="I499" t="s">
        <v>40</v>
      </c>
      <c r="J499" t="s">
        <v>117</v>
      </c>
      <c r="K499" t="s">
        <v>1427</v>
      </c>
      <c r="L499">
        <v>4</v>
      </c>
      <c r="M499">
        <v>29025</v>
      </c>
      <c r="N499">
        <v>116100</v>
      </c>
      <c r="O499">
        <v>5</v>
      </c>
      <c r="P499">
        <v>5805</v>
      </c>
      <c r="Q499">
        <v>110295</v>
      </c>
      <c r="R499" t="s">
        <v>43</v>
      </c>
      <c r="S499" t="s">
        <v>44</v>
      </c>
      <c r="T499">
        <v>10</v>
      </c>
      <c r="U499">
        <v>11029.5</v>
      </c>
    </row>
    <row r="500" spans="1:21" x14ac:dyDescent="0.25">
      <c r="A500" t="s">
        <v>1428</v>
      </c>
      <c r="B500" s="8">
        <v>45699</v>
      </c>
      <c r="C500" t="s">
        <v>63</v>
      </c>
      <c r="D500" t="s">
        <v>536</v>
      </c>
      <c r="E500" t="s">
        <v>48</v>
      </c>
      <c r="F500" t="s">
        <v>94</v>
      </c>
      <c r="G500" t="s">
        <v>66</v>
      </c>
      <c r="H500" t="s">
        <v>39</v>
      </c>
      <c r="I500" t="s">
        <v>101</v>
      </c>
      <c r="J500" t="s">
        <v>117</v>
      </c>
      <c r="K500" t="s">
        <v>1429</v>
      </c>
      <c r="L500">
        <v>1</v>
      </c>
      <c r="M500">
        <v>42491</v>
      </c>
      <c r="N500">
        <v>42491</v>
      </c>
      <c r="O500">
        <v>20</v>
      </c>
      <c r="P500">
        <v>8498.2000000000007</v>
      </c>
      <c r="Q500">
        <v>33992.800000000003</v>
      </c>
      <c r="R500" t="s">
        <v>31</v>
      </c>
      <c r="S500" t="s">
        <v>44</v>
      </c>
      <c r="T500">
        <v>6</v>
      </c>
      <c r="U500">
        <v>2039.568</v>
      </c>
    </row>
    <row r="501" spans="1:21" x14ac:dyDescent="0.25">
      <c r="A501" t="s">
        <v>1430</v>
      </c>
      <c r="B501" s="8">
        <v>46001</v>
      </c>
      <c r="C501" t="s">
        <v>147</v>
      </c>
      <c r="D501" t="s">
        <v>1431</v>
      </c>
      <c r="E501" t="s">
        <v>24</v>
      </c>
      <c r="F501" t="s">
        <v>25</v>
      </c>
      <c r="G501" t="s">
        <v>26</v>
      </c>
      <c r="H501" t="s">
        <v>57</v>
      </c>
      <c r="I501" t="s">
        <v>75</v>
      </c>
      <c r="J501" t="s">
        <v>51</v>
      </c>
      <c r="K501" t="s">
        <v>1432</v>
      </c>
      <c r="L501">
        <v>6</v>
      </c>
      <c r="M501">
        <v>32026</v>
      </c>
      <c r="N501">
        <v>192156</v>
      </c>
      <c r="O501">
        <v>15</v>
      </c>
      <c r="P501">
        <v>28823.4</v>
      </c>
      <c r="Q501">
        <v>163332.6</v>
      </c>
      <c r="R501" t="s">
        <v>31</v>
      </c>
      <c r="S501" t="s">
        <v>69</v>
      </c>
      <c r="T501">
        <v>26</v>
      </c>
      <c r="U501">
        <v>42466.476000000002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EB22-4A48-4EEF-9E18-50A41F4FEB11}">
  <sheetPr>
    <tabColor theme="6"/>
  </sheetPr>
  <dimension ref="A2:AL24"/>
  <sheetViews>
    <sheetView tabSelected="1" zoomScale="77" zoomScaleNormal="77" workbookViewId="0">
      <selection activeCell="C24" sqref="C24"/>
    </sheetView>
  </sheetViews>
  <sheetFormatPr defaultRowHeight="15" x14ac:dyDescent="0.25"/>
  <cols>
    <col min="1" max="1" width="17.28515625" bestFit="1" customWidth="1"/>
    <col min="3" max="3" width="20.42578125" bestFit="1" customWidth="1"/>
    <col min="5" max="5" width="13.7109375" bestFit="1" customWidth="1"/>
    <col min="6" max="6" width="16" bestFit="1" customWidth="1"/>
    <col min="7" max="7" width="20.42578125" bestFit="1" customWidth="1"/>
    <col min="9" max="9" width="13.7109375" bestFit="1" customWidth="1"/>
    <col min="10" max="10" width="16" bestFit="1" customWidth="1"/>
    <col min="11" max="11" width="20.42578125" bestFit="1" customWidth="1"/>
    <col min="13" max="13" width="13.7109375" bestFit="1" customWidth="1"/>
    <col min="14" max="14" width="16" bestFit="1" customWidth="1"/>
    <col min="15" max="15" width="21" bestFit="1" customWidth="1"/>
    <col min="17" max="17" width="13.7109375" bestFit="1" customWidth="1"/>
    <col min="18" max="18" width="16" bestFit="1" customWidth="1"/>
    <col min="19" max="19" width="25.140625" bestFit="1" customWidth="1"/>
    <col min="21" max="21" width="13.7109375" bestFit="1" customWidth="1"/>
    <col min="22" max="22" width="16" bestFit="1" customWidth="1"/>
    <col min="23" max="23" width="19.85546875" bestFit="1" customWidth="1"/>
    <col min="24" max="24" width="19.85546875" customWidth="1"/>
    <col min="26" max="26" width="13.7109375" bestFit="1" customWidth="1"/>
    <col min="27" max="27" width="16" bestFit="1" customWidth="1"/>
    <col min="28" max="28" width="11.28515625" customWidth="1"/>
    <col min="29" max="29" width="13.7109375" bestFit="1" customWidth="1"/>
    <col min="30" max="30" width="16" bestFit="1" customWidth="1"/>
    <col min="31" max="31" width="17" bestFit="1" customWidth="1"/>
    <col min="32" max="32" width="11.140625" customWidth="1"/>
    <col min="33" max="33" width="13.7109375" bestFit="1" customWidth="1"/>
    <col min="34" max="35" width="17" bestFit="1" customWidth="1"/>
    <col min="37" max="37" width="11.28515625" bestFit="1" customWidth="1"/>
    <col min="38" max="38" width="16" bestFit="1" customWidth="1"/>
  </cols>
  <sheetData>
    <row r="2" spans="1:38" x14ac:dyDescent="0.25">
      <c r="A2" s="15">
        <f>GETPIVOTDATA("Total Sales",$A$3)</f>
        <v>36062458</v>
      </c>
      <c r="B2" s="15"/>
      <c r="C2" s="15">
        <f>GETPIVOTDATA("Discount Amount",$C$3)</f>
        <v>3730360.7500000023</v>
      </c>
      <c r="F2">
        <f>GETPIVOTDATA("Sum of Net Sales",$E$3)</f>
        <v>32332097.25</v>
      </c>
    </row>
    <row r="3" spans="1:38" x14ac:dyDescent="0.25">
      <c r="A3" s="15" t="s">
        <v>1434</v>
      </c>
      <c r="B3" s="15"/>
      <c r="C3" s="15" t="s">
        <v>1435</v>
      </c>
      <c r="E3" s="3" t="s">
        <v>1438</v>
      </c>
      <c r="F3" t="s">
        <v>1437</v>
      </c>
      <c r="G3" t="s">
        <v>1436</v>
      </c>
      <c r="I3" s="3" t="s">
        <v>1438</v>
      </c>
      <c r="J3" t="s">
        <v>1437</v>
      </c>
      <c r="K3" t="s">
        <v>1436</v>
      </c>
      <c r="M3" s="3" t="s">
        <v>1438</v>
      </c>
      <c r="N3" t="s">
        <v>1437</v>
      </c>
      <c r="Q3" s="3" t="s">
        <v>1438</v>
      </c>
      <c r="R3" t="s">
        <v>1437</v>
      </c>
      <c r="S3" t="s">
        <v>1440</v>
      </c>
      <c r="U3" s="3" t="s">
        <v>1438</v>
      </c>
      <c r="V3" t="s">
        <v>1437</v>
      </c>
      <c r="W3" t="s">
        <v>1442</v>
      </c>
      <c r="Z3" s="3" t="s">
        <v>1438</v>
      </c>
      <c r="AA3" t="s">
        <v>1437</v>
      </c>
      <c r="AC3" s="3" t="s">
        <v>1438</v>
      </c>
      <c r="AD3" t="s">
        <v>1437</v>
      </c>
      <c r="AE3" t="s">
        <v>1441</v>
      </c>
      <c r="AG3" s="3" t="s">
        <v>1438</v>
      </c>
      <c r="AH3" t="s">
        <v>1441</v>
      </c>
      <c r="AK3" s="2" t="s">
        <v>1438</v>
      </c>
      <c r="AL3" s="2" t="s">
        <v>1437</v>
      </c>
    </row>
    <row r="4" spans="1:38" x14ac:dyDescent="0.25">
      <c r="A4" s="15">
        <v>36062458</v>
      </c>
      <c r="B4" s="15"/>
      <c r="C4" s="15">
        <v>3730360.7500000023</v>
      </c>
      <c r="E4" s="4" t="s">
        <v>36</v>
      </c>
      <c r="F4" s="13">
        <v>7398956.2500000009</v>
      </c>
      <c r="G4" s="7">
        <v>0.22524879616377019</v>
      </c>
      <c r="I4" s="4" t="s">
        <v>56</v>
      </c>
      <c r="J4" s="13">
        <v>3145400.8499999996</v>
      </c>
      <c r="K4" s="7">
        <v>9.277748851449312E-2</v>
      </c>
      <c r="M4" s="4" t="s">
        <v>38</v>
      </c>
      <c r="N4" s="13">
        <v>9170174.700000003</v>
      </c>
      <c r="Q4" s="4" t="s">
        <v>27</v>
      </c>
      <c r="R4" s="13">
        <v>9646344.3000000045</v>
      </c>
      <c r="S4" s="6">
        <v>17.253333333333334</v>
      </c>
      <c r="U4" s="4" t="s">
        <v>40</v>
      </c>
      <c r="V4" s="13">
        <v>5184203.8</v>
      </c>
      <c r="W4" s="7">
        <v>0.16726233023588277</v>
      </c>
      <c r="X4" s="7"/>
      <c r="Z4" s="4" t="s">
        <v>53</v>
      </c>
      <c r="AA4" s="7">
        <v>0.27571972461514233</v>
      </c>
      <c r="AC4" s="4" t="s">
        <v>44</v>
      </c>
      <c r="AD4" s="13">
        <v>11457558.450000003</v>
      </c>
      <c r="AE4" s="7">
        <v>0.35437102522014713</v>
      </c>
      <c r="AG4" s="4" t="s">
        <v>1443</v>
      </c>
      <c r="AH4" s="7">
        <v>0.18114279456461799</v>
      </c>
      <c r="AK4" s="10" t="s">
        <v>1443</v>
      </c>
      <c r="AL4">
        <v>5856726.4499999993</v>
      </c>
    </row>
    <row r="5" spans="1:38" x14ac:dyDescent="0.25">
      <c r="A5" s="15"/>
      <c r="B5" s="15"/>
      <c r="C5" s="15"/>
      <c r="E5" s="4" t="s">
        <v>48</v>
      </c>
      <c r="F5" s="13">
        <v>7107088.5500000017</v>
      </c>
      <c r="G5" s="7">
        <v>0.22075216846368884</v>
      </c>
      <c r="I5" s="4" t="s">
        <v>74</v>
      </c>
      <c r="J5" s="13">
        <v>4550188.6499999994</v>
      </c>
      <c r="K5" s="7">
        <v>0.12342055657053917</v>
      </c>
      <c r="M5" s="4" t="s">
        <v>26</v>
      </c>
      <c r="N5" s="13">
        <v>11941341.100000005</v>
      </c>
      <c r="Q5" s="4" t="s">
        <v>39</v>
      </c>
      <c r="R5" s="13">
        <v>10614613.100000005</v>
      </c>
      <c r="S5" s="6">
        <v>17.767441860465116</v>
      </c>
      <c r="U5" s="4" t="s">
        <v>88</v>
      </c>
      <c r="V5" s="13">
        <v>5134683.55</v>
      </c>
      <c r="W5" s="7">
        <v>0.15511079342387418</v>
      </c>
      <c r="X5" s="7"/>
      <c r="Z5" s="4" t="s">
        <v>43</v>
      </c>
      <c r="AA5" s="7">
        <v>0.29182230824819139</v>
      </c>
      <c r="AC5" s="4" t="s">
        <v>32</v>
      </c>
      <c r="AD5" s="13">
        <v>10338159.300000003</v>
      </c>
      <c r="AE5" s="7">
        <v>0.31974910937767881</v>
      </c>
      <c r="AG5" s="4" t="s">
        <v>1444</v>
      </c>
      <c r="AH5" s="7">
        <v>0.12540172134982674</v>
      </c>
      <c r="AK5" s="10" t="s">
        <v>1444</v>
      </c>
      <c r="AL5">
        <v>4054500.65</v>
      </c>
    </row>
    <row r="6" spans="1:38" x14ac:dyDescent="0.25">
      <c r="A6" s="15"/>
      <c r="B6" s="15"/>
      <c r="C6" s="15"/>
      <c r="E6" s="4" t="s">
        <v>24</v>
      </c>
      <c r="F6" s="13">
        <v>8121662.1999999993</v>
      </c>
      <c r="G6" s="7">
        <v>0.24557706819960984</v>
      </c>
      <c r="I6" s="4" t="s">
        <v>49</v>
      </c>
      <c r="J6" s="13">
        <v>4070481.7</v>
      </c>
      <c r="K6" s="7">
        <v>0.12996119463924558</v>
      </c>
      <c r="M6" s="4" t="s">
        <v>66</v>
      </c>
      <c r="N6" s="13">
        <v>11220581.450000007</v>
      </c>
      <c r="Q6" s="4" t="s">
        <v>57</v>
      </c>
      <c r="R6" s="13">
        <v>12071139.850000001</v>
      </c>
      <c r="S6" s="6">
        <v>19.021276595744681</v>
      </c>
      <c r="U6" s="4" t="s">
        <v>75</v>
      </c>
      <c r="V6" s="13">
        <v>4859713.1000000006</v>
      </c>
      <c r="W6" s="7">
        <v>0.15868477483917084</v>
      </c>
      <c r="X6" s="7"/>
      <c r="Z6" s="4" t="s">
        <v>90</v>
      </c>
      <c r="AA6" s="7">
        <v>0.18401536726789347</v>
      </c>
      <c r="AC6" s="4" t="s">
        <v>69</v>
      </c>
      <c r="AD6" s="13">
        <v>10536379.500000004</v>
      </c>
      <c r="AE6" s="7">
        <v>0.32587986540217401</v>
      </c>
      <c r="AG6" s="4" t="s">
        <v>1445</v>
      </c>
      <c r="AH6" s="7">
        <v>0.17161048375851959</v>
      </c>
      <c r="AK6" s="10" t="s">
        <v>1445</v>
      </c>
      <c r="AL6">
        <v>5548526.8499999996</v>
      </c>
    </row>
    <row r="7" spans="1:38" x14ac:dyDescent="0.25">
      <c r="A7" s="15">
        <f>GETPIVOTDATA("Net Sales",$A$8)</f>
        <v>32332097.249999985</v>
      </c>
      <c r="B7" s="15"/>
      <c r="C7" s="15">
        <f>GETPIVOTDATA("Profit Amount",$C$8)</f>
        <v>5762876.5885000024</v>
      </c>
      <c r="E7" s="4" t="s">
        <v>73</v>
      </c>
      <c r="F7" s="13">
        <v>9704390.2500000019</v>
      </c>
      <c r="G7" s="7">
        <v>0.30842196717293108</v>
      </c>
      <c r="I7" s="4" t="s">
        <v>83</v>
      </c>
      <c r="J7" s="13">
        <v>4548205.5</v>
      </c>
      <c r="K7" s="7">
        <v>0.12934485496140344</v>
      </c>
      <c r="M7" s="4" t="s">
        <v>1439</v>
      </c>
      <c r="N7" s="13">
        <v>32332097.250000015</v>
      </c>
      <c r="Q7" s="4" t="s">
        <v>1439</v>
      </c>
      <c r="R7" s="13">
        <v>32332097.250000007</v>
      </c>
      <c r="S7" s="6">
        <v>18.078431372549019</v>
      </c>
      <c r="U7" s="4" t="s">
        <v>28</v>
      </c>
      <c r="V7" s="13">
        <v>4569345.25</v>
      </c>
      <c r="W7" s="7">
        <v>0.15939957112223016</v>
      </c>
      <c r="X7" s="7"/>
      <c r="Z7" s="4" t="s">
        <v>31</v>
      </c>
      <c r="AA7" s="7">
        <v>0.24844259986877279</v>
      </c>
      <c r="AC7" s="4" t="s">
        <v>1439</v>
      </c>
      <c r="AD7" s="13">
        <v>32332097.250000011</v>
      </c>
      <c r="AE7" s="7">
        <v>1</v>
      </c>
      <c r="AG7" s="4" t="s">
        <v>1446</v>
      </c>
      <c r="AH7" s="7">
        <v>0.15266745648552077</v>
      </c>
      <c r="AK7" s="10" t="s">
        <v>1446</v>
      </c>
      <c r="AL7">
        <v>4936059.05</v>
      </c>
    </row>
    <row r="8" spans="1:38" x14ac:dyDescent="0.25">
      <c r="A8" s="15" t="s">
        <v>1437</v>
      </c>
      <c r="B8" s="15"/>
      <c r="C8" s="15" t="s">
        <v>1436</v>
      </c>
      <c r="E8" s="4" t="s">
        <v>1439</v>
      </c>
      <c r="F8" s="13">
        <v>32332097.25</v>
      </c>
      <c r="G8" s="7">
        <v>1</v>
      </c>
      <c r="I8" s="4" t="s">
        <v>25</v>
      </c>
      <c r="J8" s="13">
        <v>3519296.6499999994</v>
      </c>
      <c r="K8" s="7">
        <v>0.10586325936901503</v>
      </c>
      <c r="U8" s="4" t="s">
        <v>101</v>
      </c>
      <c r="V8" s="13">
        <v>6470698.9500000011</v>
      </c>
      <c r="W8" s="7">
        <v>0.17083631165117941</v>
      </c>
      <c r="X8" s="7"/>
      <c r="Z8" s="4" t="s">
        <v>1439</v>
      </c>
      <c r="AA8" s="7">
        <v>1</v>
      </c>
      <c r="AG8" s="4" t="s">
        <v>1447</v>
      </c>
      <c r="AH8" s="7">
        <v>0.19268018563194195</v>
      </c>
      <c r="AK8" s="10" t="s">
        <v>1447</v>
      </c>
      <c r="AL8">
        <v>6229754.5</v>
      </c>
    </row>
    <row r="9" spans="1:38" x14ac:dyDescent="0.25">
      <c r="A9" s="14">
        <v>32332097.249999985</v>
      </c>
      <c r="B9" s="15"/>
      <c r="C9" s="15">
        <v>5762876.5885000024</v>
      </c>
      <c r="I9" s="4" t="s">
        <v>65</v>
      </c>
      <c r="J9" s="13">
        <v>2902886.9</v>
      </c>
      <c r="K9" s="7">
        <v>0.10701440695965377</v>
      </c>
      <c r="Q9" s="2" t="s">
        <v>1438</v>
      </c>
      <c r="R9" s="2" t="s">
        <v>1437</v>
      </c>
      <c r="U9" s="4" t="s">
        <v>50</v>
      </c>
      <c r="V9" s="13">
        <v>6113452.5999999996</v>
      </c>
      <c r="W9" s="7">
        <v>0.18870621872766261</v>
      </c>
      <c r="X9" s="7"/>
      <c r="AG9" s="4" t="s">
        <v>1448</v>
      </c>
      <c r="AH9" s="7">
        <v>0.17649735820957302</v>
      </c>
      <c r="AK9" s="10" t="s">
        <v>1448</v>
      </c>
      <c r="AL9">
        <v>5706529.7499999991</v>
      </c>
    </row>
    <row r="10" spans="1:38" x14ac:dyDescent="0.25">
      <c r="A10" s="15"/>
      <c r="B10" s="15"/>
      <c r="C10" s="15"/>
      <c r="I10" s="4" t="s">
        <v>94</v>
      </c>
      <c r="J10" s="13">
        <v>4626005.0999999996</v>
      </c>
      <c r="K10" s="7">
        <v>0.16467250494201699</v>
      </c>
      <c r="Q10" s="4" t="s">
        <v>27</v>
      </c>
      <c r="R10">
        <f>GETPIVOTDATA("Sum of Net Sales",$Q$3,"Product Category",Q10)</f>
        <v>9646344.3000000045</v>
      </c>
      <c r="U10" s="4" t="s">
        <v>1439</v>
      </c>
      <c r="V10" s="13">
        <v>32332097.25</v>
      </c>
      <c r="W10" s="7">
        <v>1</v>
      </c>
      <c r="X10" s="7"/>
      <c r="AC10" s="2" t="s">
        <v>1438</v>
      </c>
      <c r="AD10" s="2" t="s">
        <v>1437</v>
      </c>
      <c r="AG10" s="4" t="s">
        <v>1439</v>
      </c>
      <c r="AH10" s="7">
        <v>1</v>
      </c>
      <c r="AK10" s="10" t="s">
        <v>1449</v>
      </c>
      <c r="AL10">
        <v>4492162.7</v>
      </c>
    </row>
    <row r="11" spans="1:38" x14ac:dyDescent="0.25">
      <c r="A11" s="15"/>
      <c r="B11" s="15"/>
      <c r="C11" s="15"/>
      <c r="E11" s="2" t="s">
        <v>1438</v>
      </c>
      <c r="F11" s="2" t="s">
        <v>1437</v>
      </c>
      <c r="G11" s="2" t="s">
        <v>1436</v>
      </c>
      <c r="I11" s="4" t="s">
        <v>37</v>
      </c>
      <c r="J11" s="13">
        <v>4969631.9000000004</v>
      </c>
      <c r="K11" s="7">
        <v>0.14694573404363298</v>
      </c>
      <c r="Q11" s="4" t="s">
        <v>39</v>
      </c>
      <c r="R11">
        <f t="shared" ref="R11:R12" si="0">GETPIVOTDATA("Sum of Net Sales",$Q$3,"Product Category",Q11)</f>
        <v>10614613.100000005</v>
      </c>
      <c r="AC11" s="4" t="s">
        <v>44</v>
      </c>
      <c r="AD11">
        <f>GETPIVOTDATA("Sum of Net Sales",$AC$3,"Delivery Status",AC11)</f>
        <v>11457558.450000003</v>
      </c>
      <c r="AK11" s="10" t="s">
        <v>1450</v>
      </c>
      <c r="AL11">
        <v>3791171.2</v>
      </c>
    </row>
    <row r="12" spans="1:38" x14ac:dyDescent="0.25">
      <c r="A12" s="15"/>
      <c r="B12" s="15"/>
      <c r="C12" s="15"/>
      <c r="E12" s="4" t="s">
        <v>36</v>
      </c>
      <c r="F12">
        <f>GETPIVOTDATA("Sum of Net Sales",$E$3,"Region",E12)</f>
        <v>7398956.2500000009</v>
      </c>
      <c r="G12" s="9">
        <f>GETPIVOTDATA("Sum of Profit Amount",$E$3,"Region",E12)</f>
        <v>0.22524879616377019</v>
      </c>
      <c r="I12" s="4" t="s">
        <v>1439</v>
      </c>
      <c r="J12" s="13">
        <v>32332097.249999993</v>
      </c>
      <c r="K12" s="7">
        <v>1</v>
      </c>
      <c r="Q12" s="4" t="s">
        <v>57</v>
      </c>
      <c r="R12">
        <f t="shared" si="0"/>
        <v>12071139.850000001</v>
      </c>
      <c r="AC12" s="4" t="s">
        <v>32</v>
      </c>
      <c r="AD12">
        <f t="shared" ref="AD12:AD13" si="1">GETPIVOTDATA("Sum of Net Sales",$AC$3,"Delivery Status",AC12)</f>
        <v>10338159.300000003</v>
      </c>
      <c r="AK12" s="10" t="s">
        <v>1451</v>
      </c>
      <c r="AL12">
        <v>6252741.6499999994</v>
      </c>
    </row>
    <row r="13" spans="1:38" x14ac:dyDescent="0.25">
      <c r="E13" s="4" t="s">
        <v>48</v>
      </c>
      <c r="F13">
        <f t="shared" ref="F13:F15" si="2">GETPIVOTDATA("Sum of Net Sales",$E$3,"Region",E13)</f>
        <v>7107088.5500000017</v>
      </c>
      <c r="G13" s="9">
        <f t="shared" ref="G13:G15" si="3">GETPIVOTDATA("Sum of Profit Amount",$E$3,"Region",E13)</f>
        <v>0.22075216846368884</v>
      </c>
      <c r="Q13" s="5" t="s">
        <v>1439</v>
      </c>
      <c r="AC13" s="4" t="s">
        <v>69</v>
      </c>
      <c r="AD13">
        <f t="shared" si="1"/>
        <v>10536379.500000004</v>
      </c>
      <c r="AK13" s="10" t="s">
        <v>1452</v>
      </c>
      <c r="AL13">
        <v>4806956.75</v>
      </c>
    </row>
    <row r="14" spans="1:38" x14ac:dyDescent="0.25">
      <c r="E14" s="4" t="s">
        <v>24</v>
      </c>
      <c r="F14">
        <f t="shared" si="2"/>
        <v>8121662.1999999993</v>
      </c>
      <c r="G14" s="9">
        <f t="shared" si="3"/>
        <v>0.24557706819960984</v>
      </c>
      <c r="AC14" s="5" t="s">
        <v>1439</v>
      </c>
      <c r="AD14">
        <f>SUM(AD11:AD13)</f>
        <v>32332097.250000011</v>
      </c>
      <c r="AK14" s="10" t="s">
        <v>1453</v>
      </c>
      <c r="AL14">
        <v>4157162.4000000004</v>
      </c>
    </row>
    <row r="15" spans="1:38" x14ac:dyDescent="0.25">
      <c r="E15" s="4" t="s">
        <v>73</v>
      </c>
      <c r="F15">
        <f t="shared" si="2"/>
        <v>9704390.2500000019</v>
      </c>
      <c r="G15" s="9">
        <f t="shared" si="3"/>
        <v>0.30842196717293108</v>
      </c>
      <c r="I15" s="2" t="s">
        <v>1438</v>
      </c>
      <c r="J15" s="2" t="s">
        <v>1437</v>
      </c>
      <c r="K15" s="2" t="s">
        <v>1436</v>
      </c>
      <c r="AK15" s="10" t="s">
        <v>1454</v>
      </c>
      <c r="AL15">
        <v>7419170.2500000009</v>
      </c>
    </row>
    <row r="16" spans="1:38" x14ac:dyDescent="0.25">
      <c r="E16" s="5" t="s">
        <v>1439</v>
      </c>
      <c r="F16">
        <f>SUM(F12:F15)</f>
        <v>32332097.25</v>
      </c>
      <c r="G16" s="6">
        <f>SUM(G12:G15)</f>
        <v>1</v>
      </c>
      <c r="I16" s="4" t="s">
        <v>56</v>
      </c>
      <c r="J16">
        <f>GETPIVOTDATA("Sum of Net Sales",$I$3,"City",I16)</f>
        <v>3145400.8499999996</v>
      </c>
      <c r="K16">
        <f>GETPIVOTDATA("Sum of Profit Amount",$I$3,"City",I16)</f>
        <v>9.277748851449312E-2</v>
      </c>
      <c r="AK16" s="5" t="s">
        <v>1439</v>
      </c>
      <c r="AL16" s="11">
        <v>63251462.200000003</v>
      </c>
    </row>
    <row r="17" spans="9:11" x14ac:dyDescent="0.25">
      <c r="I17" s="4" t="s">
        <v>74</v>
      </c>
      <c r="J17">
        <f t="shared" ref="J17:J23" si="4">GETPIVOTDATA("Sum of Net Sales",$I$3,"City",I17)</f>
        <v>4550188.6499999994</v>
      </c>
      <c r="K17">
        <f t="shared" ref="K17:K23" si="5">GETPIVOTDATA("Sum of Profit Amount",$I$3,"City",I17)</f>
        <v>0.12342055657053917</v>
      </c>
    </row>
    <row r="18" spans="9:11" x14ac:dyDescent="0.25">
      <c r="I18" s="4" t="s">
        <v>49</v>
      </c>
      <c r="J18">
        <f t="shared" si="4"/>
        <v>4070481.7</v>
      </c>
      <c r="K18">
        <f t="shared" si="5"/>
        <v>0.12996119463924558</v>
      </c>
    </row>
    <row r="19" spans="9:11" x14ac:dyDescent="0.25">
      <c r="I19" s="4" t="s">
        <v>83</v>
      </c>
      <c r="J19">
        <f t="shared" si="4"/>
        <v>4548205.5</v>
      </c>
      <c r="K19">
        <f t="shared" si="5"/>
        <v>0.12934485496140344</v>
      </c>
    </row>
    <row r="20" spans="9:11" x14ac:dyDescent="0.25">
      <c r="I20" s="4" t="s">
        <v>25</v>
      </c>
      <c r="J20">
        <f t="shared" si="4"/>
        <v>3519296.6499999994</v>
      </c>
      <c r="K20">
        <f t="shared" si="5"/>
        <v>0.10586325936901503</v>
      </c>
    </row>
    <row r="21" spans="9:11" x14ac:dyDescent="0.25">
      <c r="I21" s="4" t="s">
        <v>65</v>
      </c>
      <c r="J21">
        <f t="shared" si="4"/>
        <v>2902886.9</v>
      </c>
      <c r="K21">
        <f t="shared" si="5"/>
        <v>0.10701440695965377</v>
      </c>
    </row>
    <row r="22" spans="9:11" x14ac:dyDescent="0.25">
      <c r="I22" s="4" t="s">
        <v>94</v>
      </c>
      <c r="J22">
        <f t="shared" si="4"/>
        <v>4626005.0999999996</v>
      </c>
      <c r="K22">
        <f t="shared" si="5"/>
        <v>0.16467250494201699</v>
      </c>
    </row>
    <row r="23" spans="9:11" x14ac:dyDescent="0.25">
      <c r="I23" s="4" t="s">
        <v>37</v>
      </c>
      <c r="J23">
        <f t="shared" si="4"/>
        <v>4969631.9000000004</v>
      </c>
      <c r="K23">
        <f t="shared" si="5"/>
        <v>0.14694573404363298</v>
      </c>
    </row>
    <row r="24" spans="9:11" x14ac:dyDescent="0.25">
      <c r="I24" s="5" t="s">
        <v>1439</v>
      </c>
      <c r="J24">
        <f>SUM(J16:J23)</f>
        <v>32332097.249999993</v>
      </c>
      <c r="K24">
        <f>SUM(K16:K23)</f>
        <v>1.0000000000000002</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68DD-1C63-4180-932A-88A23BB05FAC}">
  <sheetPr>
    <tabColor rgb="FFFFFF00"/>
    <pageSetUpPr fitToPage="1"/>
  </sheetPr>
  <dimension ref="A35:Y42"/>
  <sheetViews>
    <sheetView showGridLines="0" showRowColHeaders="0" topLeftCell="A16" zoomScale="82" zoomScaleNormal="82" workbookViewId="0">
      <selection activeCell="A37" sqref="A37:Y38"/>
    </sheetView>
  </sheetViews>
  <sheetFormatPr defaultRowHeight="15" x14ac:dyDescent="0.25"/>
  <cols>
    <col min="1" max="16384" width="9.140625" style="12"/>
  </cols>
  <sheetData>
    <row r="35" spans="1:25" x14ac:dyDescent="0.25">
      <c r="T35" s="12" t="s">
        <v>1455</v>
      </c>
    </row>
    <row r="37" spans="1:25" x14ac:dyDescent="0.25">
      <c r="A37" s="16" t="s">
        <v>1456</v>
      </c>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25">
      <c r="A39" s="16" t="s">
        <v>1457</v>
      </c>
      <c r="B39" s="18"/>
      <c r="C39" s="18"/>
      <c r="D39" s="18"/>
      <c r="E39" s="18"/>
      <c r="F39" s="18"/>
      <c r="G39" s="18"/>
      <c r="H39" s="18"/>
      <c r="I39" s="18"/>
      <c r="J39" s="18"/>
      <c r="K39" s="18"/>
      <c r="L39" s="18"/>
      <c r="M39" s="18"/>
      <c r="N39" s="18"/>
      <c r="O39" s="18"/>
      <c r="P39" s="18"/>
      <c r="Q39" s="18"/>
      <c r="R39" s="18"/>
      <c r="S39" s="18"/>
      <c r="T39" s="18"/>
      <c r="U39" s="18"/>
      <c r="V39" s="18"/>
      <c r="W39" s="18"/>
      <c r="X39" s="18"/>
      <c r="Y39" s="19"/>
    </row>
    <row r="40" spans="1:25"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9"/>
    </row>
    <row r="41" spans="1:25" x14ac:dyDescent="0.25">
      <c r="A41" s="16" t="s">
        <v>1458</v>
      </c>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sheetData>
  <mergeCells count="3">
    <mergeCell ref="A37:Y38"/>
    <mergeCell ref="A39:X40"/>
    <mergeCell ref="A41:Y42"/>
  </mergeCells>
  <pageMargins left="0.7" right="0.7" top="0.75" bottom="0.75" header="0.3" footer="0.3"/>
  <pageSetup paperSize="9" scale="16"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vt:lpstr>
      <vt:lpstr>Pivot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farru shaikh</cp:lastModifiedBy>
  <cp:lastPrinted>2026-03-19T06:33:44Z</cp:lastPrinted>
  <dcterms:created xsi:type="dcterms:W3CDTF">2026-02-27T06:42:09Z</dcterms:created>
  <dcterms:modified xsi:type="dcterms:W3CDTF">2026-04-25T09:01:40Z</dcterms:modified>
</cp:coreProperties>
</file>